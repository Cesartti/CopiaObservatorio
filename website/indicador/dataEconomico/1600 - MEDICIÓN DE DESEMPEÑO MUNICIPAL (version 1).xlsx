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fael\Desktop\FICHAS TÉCNICAS Y DATALIKE\DATALIKE\DESEMPEÑO MUNICIPAL\"/>
    </mc:Choice>
  </mc:AlternateContent>
  <xr:revisionPtr revIDLastSave="0" documentId="13_ncr:1_{C211A83C-BAB1-4C36-A37E-6591EE5475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0" sheetId="1" r:id="rId1"/>
    <sheet name="data1" sheetId="2" r:id="rId2"/>
    <sheet name="data2" sheetId="3" r:id="rId3"/>
    <sheet name="data3" sheetId="4" r:id="rId4"/>
    <sheet name="data4" sheetId="5" r:id="rId5"/>
    <sheet name="data5" sheetId="6" r:id="rId6"/>
    <sheet name="data6" sheetId="7" r:id="rId7"/>
    <sheet name="data7" sheetId="8" r:id="rId8"/>
    <sheet name="data8" sheetId="9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7" i="9" l="1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6" i="5"/>
  <c r="A5" i="5"/>
  <c r="A4" i="5"/>
  <c r="A3" i="5"/>
  <c r="A2" i="5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4" i="3"/>
  <c r="A2" i="3"/>
  <c r="A3" i="3"/>
</calcChain>
</file>

<file path=xl/sharedStrings.xml><?xml version="1.0" encoding="utf-8"?>
<sst xmlns="http://schemas.openxmlformats.org/spreadsheetml/2006/main" count="1394" uniqueCount="187">
  <si>
    <t>Categoría:</t>
  </si>
  <si>
    <t>Descripción:</t>
  </si>
  <si>
    <t>Titulo:</t>
  </si>
  <si>
    <t>Subcategoría:</t>
  </si>
  <si>
    <t>Etiquetas:</t>
  </si>
  <si>
    <t>Fuentes:</t>
  </si>
  <si>
    <t>Medición de Desempeño Municipal</t>
  </si>
  <si>
    <t>Este indicador presenta los resultados de la Medición de Desempeño Municipal (MDM) del Departamento Nacional de Planeación (DNP) para los municipios de Boyacá en los años 2022 y 2023. La MDM evalúa el desempeño de los gobiernos locales a partir de dos dimensiones principales: gestión y resultados, que permiten obtener un puntaje general y clasificar a los municipios en grupos de capacidades. El indicador sintetiza el desempeño institucional, operativo y social de los municipios del departamento.</t>
  </si>
  <si>
    <t>Índice - Desempeño general</t>
  </si>
  <si>
    <t>Departamento Nacional de Planeación – DNP</t>
  </si>
  <si>
    <t>Puntaje general de la Medición de Desempeño Municipal por provincia, Boyacá 2022–2023</t>
  </si>
  <si>
    <t>Descripcion:</t>
  </si>
  <si>
    <t>Puntaje promedio del índice general de desempeño municipal calculado por el Departamento Nacional de Planeación (DNP) para las provincias de Boyacá, en los años 2022 y 2023. El puntaje general integra las dimensiones de gestión y resultados.</t>
  </si>
  <si>
    <t>Vertical:</t>
  </si>
  <si>
    <t>Puntaje promedio del índice general</t>
  </si>
  <si>
    <t>Horizontal:</t>
  </si>
  <si>
    <t>Provincia</t>
  </si>
  <si>
    <t>Tipo:</t>
  </si>
  <si>
    <t>Gráfica de columnas</t>
  </si>
  <si>
    <t>Etiquetas de fila</t>
  </si>
  <si>
    <t>Centro</t>
  </si>
  <si>
    <t>Distrito Fronterizo</t>
  </si>
  <si>
    <t>Gutiérrez</t>
  </si>
  <si>
    <t>La Libertad</t>
  </si>
  <si>
    <t>Lengupá</t>
  </si>
  <si>
    <t>Manejo especial</t>
  </si>
  <si>
    <t>Márquez</t>
  </si>
  <si>
    <t>Neira</t>
  </si>
  <si>
    <t>Norte</t>
  </si>
  <si>
    <t>Occidente</t>
  </si>
  <si>
    <t>Oriente</t>
  </si>
  <si>
    <t>Ricaurte</t>
  </si>
  <si>
    <t>Sugamuxi</t>
  </si>
  <si>
    <t>Tundama</t>
  </si>
  <si>
    <t>Valderrama</t>
  </si>
  <si>
    <t>Mapa</t>
  </si>
  <si>
    <t>Puntaje general</t>
  </si>
  <si>
    <t>Años</t>
  </si>
  <si>
    <t>Código DANE</t>
  </si>
  <si>
    <t>Municipio</t>
  </si>
  <si>
    <t>Año</t>
  </si>
  <si>
    <t>Medición de desempeño municipal</t>
  </si>
  <si>
    <t>Tunja</t>
  </si>
  <si>
    <t>Almeida</t>
  </si>
  <si>
    <t>Aquitania</t>
  </si>
  <si>
    <t>Arcabuco</t>
  </si>
  <si>
    <t>Berbeo</t>
  </si>
  <si>
    <t>Boavita</t>
  </si>
  <si>
    <t>Briceño</t>
  </si>
  <si>
    <t>Buenavista</t>
  </si>
  <si>
    <t>Caldas</t>
  </si>
  <si>
    <t>Campohermoso</t>
  </si>
  <si>
    <t>Cerinza</t>
  </si>
  <si>
    <t>Chinavita</t>
  </si>
  <si>
    <t>Chiscas</t>
  </si>
  <si>
    <t>Chita</t>
  </si>
  <si>
    <t>Chitaraque</t>
  </si>
  <si>
    <t>Coper</t>
  </si>
  <si>
    <t>Corrales</t>
  </si>
  <si>
    <t>Cucaita</t>
  </si>
  <si>
    <t>Chivor</t>
  </si>
  <si>
    <t>Duitama</t>
  </si>
  <si>
    <t>El Cocuy</t>
  </si>
  <si>
    <t>El Espino</t>
  </si>
  <si>
    <t>Firavitoba</t>
  </si>
  <si>
    <t>Floresta</t>
  </si>
  <si>
    <t>Garagoa</t>
  </si>
  <si>
    <t>Guacamayas</t>
  </si>
  <si>
    <t>Guateque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</si>
  <si>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</si>
  <si>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</si>
  <si>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</si>
  <si>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</si>
  <si>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</si>
  <si>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</si>
  <si>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</si>
  <si>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</si>
  <si>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Miraflores</t>
  </si>
  <si>
    <t>Mongua</t>
  </si>
  <si>
    <t>Motavita</t>
  </si>
  <si>
    <t>Muzo</t>
  </si>
  <si>
    <t>Nobsa</t>
  </si>
  <si>
    <t>Otanche</t>
  </si>
  <si>
    <t>Pachavita</t>
  </si>
  <si>
    <t>Paipa</t>
  </si>
  <si>
    <t>Pajarito</t>
  </si>
  <si>
    <t>Panqueba</t>
  </si>
  <si>
    <t>Pauna</t>
  </si>
  <si>
    <t>Paya</t>
  </si>
  <si>
    <t>Pesca</t>
  </si>
  <si>
    <t>Pisba</t>
  </si>
  <si>
    <t>San Eduardo</t>
  </si>
  <si>
    <t>San Luis de Gaceno</t>
  </si>
  <si>
    <t>San Mateo</t>
  </si>
  <si>
    <t>San Miguel de Sema</t>
  </si>
  <si>
    <t>San Pablo de Borbur</t>
  </si>
  <si>
    <t>Santana</t>
  </si>
  <si>
    <t>Santa Rosa de Viterbo</t>
  </si>
  <si>
    <t>Sativanorte</t>
  </si>
  <si>
    <t>Sativasur</t>
  </si>
  <si>
    <t>Siachoque</t>
  </si>
  <si>
    <t>Socha</t>
  </si>
  <si>
    <t>Sogamoso</t>
  </si>
  <si>
    <t>Somondoco</t>
  </si>
  <si>
    <t>Sora</t>
  </si>
  <si>
    <t>Sutatenza</t>
  </si>
  <si>
    <t>Tasco</t>
  </si>
  <si>
    <t>Tenza</t>
  </si>
  <si>
    <t>Tibasosa</t>
  </si>
  <si>
    <t>Tipacoque</t>
  </si>
  <si>
    <t>Toca</t>
  </si>
  <si>
    <t>Tota</t>
  </si>
  <si>
    <t>Tuta</t>
  </si>
  <si>
    <t>Ventaquemada</t>
  </si>
  <si>
    <t>Zetaquira</t>
  </si>
  <si>
    <t>G1. Nivel alto</t>
  </si>
  <si>
    <t>G2. Nivel Medio Alto</t>
  </si>
  <si>
    <t>G3. Nivel Medio</t>
  </si>
  <si>
    <t>G4. Nivel Medio bajo</t>
  </si>
  <si>
    <t>G5. Nivel bajo</t>
  </si>
  <si>
    <t>Total general</t>
  </si>
  <si>
    <t>Número de municipios</t>
  </si>
  <si>
    <t>Grupo de capacidades (G1–G5)</t>
  </si>
  <si>
    <t>Municipios por grupo de capacidades en la Medición de Desempeño Municipal, Boyacá 2022–2023</t>
  </si>
  <si>
    <t>Número de municipios de Boyacá según el grupo de capacidades en el que son clasificados por la Medición de Desempeño Municipal del DNP, para los años 2022 y 2023.</t>
  </si>
  <si>
    <t>Grupo de Capacidades iniciales</t>
  </si>
  <si>
    <t>Puntaje promedio en la dimensión de gestión por provincia, Boyacá 2022–2023</t>
  </si>
  <si>
    <t>Puntaje promedio de la dimensión de gestión de la Medición de Desempeño Municipal del DNP para las provincias de Boyacá, en los años 2022 y 2023. Incluye los componentes de movilización y ejecución de recursos, gobierno abierto y ordenamiento de recursos.</t>
  </si>
  <si>
    <t>Puntaje promedio de gestión</t>
  </si>
  <si>
    <t>Componente de gestión</t>
  </si>
  <si>
    <t>Puntaje promedio en la dimensión de resultados por provincia, Boyacá 2022–2023</t>
  </si>
  <si>
    <t>Puntaje promedio de la dimensión de resultados de la Medición de Desempeño Municipal del DNP para las provincias de Boyacá, en los años 2022 y 2023. Incluye los componentes de educación, salud, servicios públicos y seguridad.</t>
  </si>
  <si>
    <t>Puntaje promedio de resultados</t>
  </si>
  <si>
    <t>Componente de resultados</t>
  </si>
  <si>
    <t>Gráfica de columnas agrupadas</t>
  </si>
  <si>
    <t>Belen</t>
  </si>
  <si>
    <t>Beteitiva</t>
  </si>
  <si>
    <t>Boyaca</t>
  </si>
  <si>
    <t>Puerto Boyaca</t>
  </si>
  <si>
    <t>Puntaje general de los municipios de Boyaca en la Medición de Desempeño Municipal, 2022–2023</t>
  </si>
  <si>
    <t>El mapa muestra el puntaje general obtenido por los municipios de Boyaca en la Medición de Desempeño Municipal del DNP para los años 2022 y 2023. El puntaje general integra las dimensiones de gestión y resultados, permitiendo identificar el desempeño global de cada municipio.</t>
  </si>
  <si>
    <t>Busbanza</t>
  </si>
  <si>
    <t>Chiquinquira</t>
  </si>
  <si>
    <t>Chivata</t>
  </si>
  <si>
    <t>Cienega</t>
  </si>
  <si>
    <t>Combita</t>
  </si>
  <si>
    <t>Covarachia</t>
  </si>
  <si>
    <t>Cuitiva</t>
  </si>
  <si>
    <t>Cubara</t>
  </si>
  <si>
    <t>Chiquiza</t>
  </si>
  <si>
    <t>Gachantiva</t>
  </si>
  <si>
    <t>Gameza</t>
  </si>
  <si>
    <t>Guayata</t>
  </si>
  <si>
    <t>Güican</t>
  </si>
  <si>
    <t>Jerico</t>
  </si>
  <si>
    <t>Maripi</t>
  </si>
  <si>
    <t>Mongui</t>
  </si>
  <si>
    <t>Moniquira</t>
  </si>
  <si>
    <t>Nuevo Colon</t>
  </si>
  <si>
    <t>Oicata</t>
  </si>
  <si>
    <t>Paez</t>
  </si>
  <si>
    <t>Paz de Rio</t>
  </si>
  <si>
    <t>Quipama</t>
  </si>
  <si>
    <t>Ramiriqui</t>
  </si>
  <si>
    <t>Raquira</t>
  </si>
  <si>
    <t>Rondon</t>
  </si>
  <si>
    <t>Saboya</t>
  </si>
  <si>
    <t>Sachica</t>
  </si>
  <si>
    <t>Samaca</t>
  </si>
  <si>
    <t>San Jose de Pare</t>
  </si>
  <si>
    <t>Santa Maria</t>
  </si>
  <si>
    <t>Santa Sofia</t>
  </si>
  <si>
    <t>Soata</t>
  </si>
  <si>
    <t>Socota</t>
  </si>
  <si>
    <t>Sotaquira</t>
  </si>
  <si>
    <t>Soraca</t>
  </si>
  <si>
    <t>Susacon</t>
  </si>
  <si>
    <t>Sutamarchan</t>
  </si>
  <si>
    <t>Tibana</t>
  </si>
  <si>
    <t>Tinjaca</t>
  </si>
  <si>
    <t>Togüi</t>
  </si>
  <si>
    <t>Topaga</t>
  </si>
  <si>
    <t>Tunungua</t>
  </si>
  <si>
    <t>Turmeque</t>
  </si>
  <si>
    <t>Tutaza</t>
  </si>
  <si>
    <t>Umbita</t>
  </si>
  <si>
    <t>Viracacha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</si>
</sst>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PUNTAJE PROMEDIO DEL INDICE GENERAL DE MEDICIÓN DE DESEMPEÑO MUNICIPAL PARA LAS PROVINCIAS DE BOYACÁ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2022-2023</a:t>
            </a:r>
            <a:endParaRPr lang="es-CO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data1!$B$1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data1!$A$2:$A$16</c:f>
              <c:strCache>
                <c:ptCount val="15"/>
                <c:pt idx="0">
                  <c:v>Centro</c:v>
                </c:pt>
                <c:pt idx="1">
                  <c:v>Distrito Fronterizo</c:v>
                </c:pt>
                <c:pt idx="2">
                  <c:v>Gutiérrez</c:v>
                </c:pt>
                <c:pt idx="3">
                  <c:v>La Libertad</c:v>
                </c:pt>
                <c:pt idx="4">
                  <c:v>Lengupá</c:v>
                </c:pt>
                <c:pt idx="5">
                  <c:v>Manejo especial</c:v>
                </c:pt>
                <c:pt idx="6">
                  <c:v>Márquez</c:v>
                </c:pt>
                <c:pt idx="7">
                  <c:v>Neira</c:v>
                </c:pt>
                <c:pt idx="8">
                  <c:v>Norte</c:v>
                </c:pt>
                <c:pt idx="9">
                  <c:v>Occidente</c:v>
                </c:pt>
                <c:pt idx="10">
                  <c:v>Oriente</c:v>
                </c:pt>
                <c:pt idx="11">
                  <c:v>Ricaurte</c:v>
                </c:pt>
                <c:pt idx="12">
                  <c:v>Sugamuxi</c:v>
                </c:pt>
                <c:pt idx="13">
                  <c:v>Tundama</c:v>
                </c:pt>
                <c:pt idx="14">
                  <c:v>Valderrama</c:v>
                </c:pt>
              </c:strCache>
            </c:strRef>
          </c:cat>
          <c:val>
            <c:numRef>
              <c:f>data1!$B$2:$B$16</c:f>
              <c:numCache>
                <c:formatCode>General</c:formatCode>
                <c:ptCount val="15"/>
                <c:pt idx="0">
                  <c:v>59.660000000000004</c:v>
                </c:pt>
                <c:pt idx="1">
                  <c:v>55.76</c:v>
                </c:pt>
                <c:pt idx="2">
                  <c:v>53.62166666666667</c:v>
                </c:pt>
                <c:pt idx="3">
                  <c:v>46.457499999999996</c:v>
                </c:pt>
                <c:pt idx="4">
                  <c:v>57.389999999999993</c:v>
                </c:pt>
                <c:pt idx="5">
                  <c:v>61.21</c:v>
                </c:pt>
                <c:pt idx="6">
                  <c:v>57.511999999999986</c:v>
                </c:pt>
                <c:pt idx="7">
                  <c:v>55.011666666666663</c:v>
                </c:pt>
                <c:pt idx="8">
                  <c:v>48.74666666666667</c:v>
                </c:pt>
                <c:pt idx="9">
                  <c:v>50.129333333333335</c:v>
                </c:pt>
                <c:pt idx="10">
                  <c:v>52.811250000000001</c:v>
                </c:pt>
                <c:pt idx="11">
                  <c:v>56.734615384615388</c:v>
                </c:pt>
                <c:pt idx="12">
                  <c:v>55.553846153846159</c:v>
                </c:pt>
                <c:pt idx="13">
                  <c:v>55.31444444444444</c:v>
                </c:pt>
                <c:pt idx="14">
                  <c:v>53.95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88-4E5A-AE6A-9E2770CD218B}"/>
            </c:ext>
          </c:extLst>
        </c:ser>
        <c:ser>
          <c:idx val="1"/>
          <c:order val="1"/>
          <c:tx>
            <c:strRef>
              <c:f>data1!$C$1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data1!$A$2:$A$16</c:f>
              <c:strCache>
                <c:ptCount val="15"/>
                <c:pt idx="0">
                  <c:v>Centro</c:v>
                </c:pt>
                <c:pt idx="1">
                  <c:v>Distrito Fronterizo</c:v>
                </c:pt>
                <c:pt idx="2">
                  <c:v>Gutiérrez</c:v>
                </c:pt>
                <c:pt idx="3">
                  <c:v>La Libertad</c:v>
                </c:pt>
                <c:pt idx="4">
                  <c:v>Lengupá</c:v>
                </c:pt>
                <c:pt idx="5">
                  <c:v>Manejo especial</c:v>
                </c:pt>
                <c:pt idx="6">
                  <c:v>Márquez</c:v>
                </c:pt>
                <c:pt idx="7">
                  <c:v>Neira</c:v>
                </c:pt>
                <c:pt idx="8">
                  <c:v>Norte</c:v>
                </c:pt>
                <c:pt idx="9">
                  <c:v>Occidente</c:v>
                </c:pt>
                <c:pt idx="10">
                  <c:v>Oriente</c:v>
                </c:pt>
                <c:pt idx="11">
                  <c:v>Ricaurte</c:v>
                </c:pt>
                <c:pt idx="12">
                  <c:v>Sugamuxi</c:v>
                </c:pt>
                <c:pt idx="13">
                  <c:v>Tundama</c:v>
                </c:pt>
                <c:pt idx="14">
                  <c:v>Valderrama</c:v>
                </c:pt>
              </c:strCache>
            </c:strRef>
          </c:cat>
          <c:val>
            <c:numRef>
              <c:f>data1!$C$2:$C$16</c:f>
              <c:numCache>
                <c:formatCode>General</c:formatCode>
                <c:ptCount val="15"/>
                <c:pt idx="0">
                  <c:v>62.110666666666681</c:v>
                </c:pt>
                <c:pt idx="1">
                  <c:v>63.12</c:v>
                </c:pt>
                <c:pt idx="2">
                  <c:v>59.16</c:v>
                </c:pt>
                <c:pt idx="3">
                  <c:v>49.772499999999994</c:v>
                </c:pt>
                <c:pt idx="4">
                  <c:v>61.844999999999999</c:v>
                </c:pt>
                <c:pt idx="5">
                  <c:v>61.71</c:v>
                </c:pt>
                <c:pt idx="6">
                  <c:v>59.535000000000004</c:v>
                </c:pt>
                <c:pt idx="7">
                  <c:v>55.828333333333326</c:v>
                </c:pt>
                <c:pt idx="8">
                  <c:v>58.277777777777779</c:v>
                </c:pt>
                <c:pt idx="9">
                  <c:v>54.295999999999999</c:v>
                </c:pt>
                <c:pt idx="10">
                  <c:v>52.914999999999999</c:v>
                </c:pt>
                <c:pt idx="11">
                  <c:v>57.362307692307695</c:v>
                </c:pt>
                <c:pt idx="12">
                  <c:v>58.284615384615385</c:v>
                </c:pt>
                <c:pt idx="13">
                  <c:v>58.13666666666667</c:v>
                </c:pt>
                <c:pt idx="14">
                  <c:v>60.021428571428565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88-4E5A-AE6A-9E2770CD2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8271727"/>
        <c:axId val="928269807"/>
      </c:barChart>
      <c:catAx>
        <c:axId val="928271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Provincia</a:t>
                </a:r>
              </a:p>
            </c:rich>
          </c:tx>
          <c:layout>
            <c:manualLayout>
              <c:xMode val="edge"/>
              <c:yMode val="edge"/>
              <c:x val="0.44593635170603674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28269807"/>
        <c:crosses val="autoZero"/>
        <c:auto val="1"/>
        <c:lblAlgn val="ctr"/>
        <c:lblOffset val="100"/>
        <c:noMultiLvlLbl val="0"/>
      </c:catAx>
      <c:valAx>
        <c:axId val="92826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Puntaje</a:t>
                </a:r>
                <a:r>
                  <a:rPr lang="es-CO" baseline="0"/>
                  <a:t> Promedio</a:t>
                </a:r>
              </a:p>
              <a:p>
                <a:pPr>
                  <a:defRPr/>
                </a:pPr>
                <a:r>
                  <a:rPr lang="es-CO" baseline="0"/>
                  <a:t> del índice general</a:t>
                </a:r>
                <a:endParaRPr lang="es-CO"/>
              </a:p>
            </c:rich>
          </c:tx>
          <c:layout>
            <c:manualLayout>
              <c:xMode val="edge"/>
              <c:yMode val="edge"/>
              <c:x val="3.0555555555555555E-2"/>
              <c:y val="0.341203703703703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2827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NÚMERO DE MUNICIPIOS POR GRUPO DE CAPACIDADES EN LA MEDICIÓN DEL DESEMPEÑO MUNICIPAL EN BOYACÁ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2022 - 2023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data3!$A$2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data3!$B$1:$F$1</c:f>
              <c:strCache>
                <c:ptCount val="5"/>
                <c:pt idx="0">
                  <c:v>G1. Nivel alto</c:v>
                </c:pt>
                <c:pt idx="1">
                  <c:v>G2. Nivel Medio Alto</c:v>
                </c:pt>
                <c:pt idx="2">
                  <c:v>G3. Nivel Medio</c:v>
                </c:pt>
                <c:pt idx="3">
                  <c:v>G4. Nivel Medio bajo</c:v>
                </c:pt>
                <c:pt idx="4">
                  <c:v>G5. Nivel bajo</c:v>
                </c:pt>
              </c:strCache>
            </c:strRef>
          </c:cat>
          <c:val>
            <c:numRef>
              <c:f>data3!$B$2:$F$2</c:f>
              <c:numCache>
                <c:formatCode>General</c:formatCode>
                <c:ptCount val="5"/>
                <c:pt idx="0">
                  <c:v>26</c:v>
                </c:pt>
                <c:pt idx="1">
                  <c:v>36</c:v>
                </c:pt>
                <c:pt idx="2">
                  <c:v>34</c:v>
                </c:pt>
                <c:pt idx="3">
                  <c:v>26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8-4C81-8A57-6E31176F4CD0}"/>
            </c:ext>
          </c:extLst>
        </c:ser>
        <c:ser>
          <c:idx val="1"/>
          <c:order val="1"/>
          <c:tx>
            <c:strRef>
              <c:f>data3!$A$3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data3!$B$1:$F$1</c:f>
              <c:strCache>
                <c:ptCount val="5"/>
                <c:pt idx="0">
                  <c:v>G1. Nivel alto</c:v>
                </c:pt>
                <c:pt idx="1">
                  <c:v>G2. Nivel Medio Alto</c:v>
                </c:pt>
                <c:pt idx="2">
                  <c:v>G3. Nivel Medio</c:v>
                </c:pt>
                <c:pt idx="3">
                  <c:v>G4. Nivel Medio bajo</c:v>
                </c:pt>
                <c:pt idx="4">
                  <c:v>G5. Nivel bajo</c:v>
                </c:pt>
              </c:strCache>
            </c:strRef>
          </c:cat>
          <c:val>
            <c:numRef>
              <c:f>data3!$B$3:$F$3</c:f>
              <c:numCache>
                <c:formatCode>General</c:formatCode>
                <c:ptCount val="5"/>
                <c:pt idx="0">
                  <c:v>26</c:v>
                </c:pt>
                <c:pt idx="1">
                  <c:v>36</c:v>
                </c:pt>
                <c:pt idx="2">
                  <c:v>34</c:v>
                </c:pt>
                <c:pt idx="3">
                  <c:v>26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58-4C81-8A57-6E31176F4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5387839"/>
        <c:axId val="1105387359"/>
      </c:barChart>
      <c:catAx>
        <c:axId val="110538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Grupo</a:t>
                </a:r>
                <a:r>
                  <a:rPr lang="es-CO" baseline="0"/>
                  <a:t> de capacidades</a:t>
                </a:r>
                <a:endParaRPr lang="es-CO"/>
              </a:p>
            </c:rich>
          </c:tx>
          <c:layout>
            <c:manualLayout>
              <c:xMode val="edge"/>
              <c:yMode val="edge"/>
              <c:x val="0.38342945326278666"/>
              <c:y val="0.83214356725146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5387359"/>
        <c:crosses val="autoZero"/>
        <c:auto val="1"/>
        <c:lblAlgn val="ctr"/>
        <c:lblOffset val="100"/>
        <c:noMultiLvlLbl val="0"/>
      </c:catAx>
      <c:valAx>
        <c:axId val="110538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Número</a:t>
                </a:r>
                <a:r>
                  <a:rPr lang="es-CO" baseline="0"/>
                  <a:t> de municipios</a:t>
                </a:r>
                <a:endParaRPr lang="es-CO"/>
              </a:p>
            </c:rich>
          </c:tx>
          <c:layout>
            <c:manualLayout>
              <c:xMode val="edge"/>
              <c:yMode val="edge"/>
              <c:x val="2.2156084656084655E-2"/>
              <c:y val="0.32659356725146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538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PUNTAJE PROMEDIO DE LA DIMENSIÓN GESTIÓN DE LA MEDICIÓN DE DESEMPEÑO MUNICIPAL PARA LAS PROVINCIAS DE BOYACÁ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2022-2023</a:t>
            </a:r>
            <a:endParaRPr lang="es-CO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data5!$B$1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data5!$A$2:$A$16</c:f>
              <c:strCache>
                <c:ptCount val="15"/>
                <c:pt idx="0">
                  <c:v>Centro</c:v>
                </c:pt>
                <c:pt idx="1">
                  <c:v>Distrito Fronterizo</c:v>
                </c:pt>
                <c:pt idx="2">
                  <c:v>Gutiérrez</c:v>
                </c:pt>
                <c:pt idx="3">
                  <c:v>La Libertad</c:v>
                </c:pt>
                <c:pt idx="4">
                  <c:v>Lengupá</c:v>
                </c:pt>
                <c:pt idx="5">
                  <c:v>Manejo especial</c:v>
                </c:pt>
                <c:pt idx="6">
                  <c:v>Márquez</c:v>
                </c:pt>
                <c:pt idx="7">
                  <c:v>Neira</c:v>
                </c:pt>
                <c:pt idx="8">
                  <c:v>Norte</c:v>
                </c:pt>
                <c:pt idx="9">
                  <c:v>Occidente</c:v>
                </c:pt>
                <c:pt idx="10">
                  <c:v>Oriente</c:v>
                </c:pt>
                <c:pt idx="11">
                  <c:v>Ricaurte</c:v>
                </c:pt>
                <c:pt idx="12">
                  <c:v>Sugamuxi</c:v>
                </c:pt>
                <c:pt idx="13">
                  <c:v>Tundama</c:v>
                </c:pt>
                <c:pt idx="14">
                  <c:v>Valderrama</c:v>
                </c:pt>
              </c:strCache>
            </c:strRef>
          </c:cat>
          <c:val>
            <c:numRef>
              <c:f>data5!$B$2:$B$16</c:f>
              <c:numCache>
                <c:formatCode>General</c:formatCode>
                <c:ptCount val="15"/>
                <c:pt idx="0">
                  <c:v>59.621999999999993</c:v>
                </c:pt>
                <c:pt idx="1">
                  <c:v>58.19</c:v>
                </c:pt>
                <c:pt idx="2">
                  <c:v>57.220000000000006</c:v>
                </c:pt>
                <c:pt idx="3">
                  <c:v>47.5625</c:v>
                </c:pt>
                <c:pt idx="4">
                  <c:v>57.848333333333336</c:v>
                </c:pt>
                <c:pt idx="5">
                  <c:v>60.91</c:v>
                </c:pt>
                <c:pt idx="6">
                  <c:v>58.544999999999995</c:v>
                </c:pt>
                <c:pt idx="7">
                  <c:v>56.366666666666667</c:v>
                </c:pt>
                <c:pt idx="8">
                  <c:v>49.906666666666666</c:v>
                </c:pt>
                <c:pt idx="9">
                  <c:v>50.533333333333339</c:v>
                </c:pt>
                <c:pt idx="10">
                  <c:v>53.032499999999999</c:v>
                </c:pt>
                <c:pt idx="11">
                  <c:v>56.534615384615378</c:v>
                </c:pt>
                <c:pt idx="12">
                  <c:v>56.9823076923077</c:v>
                </c:pt>
                <c:pt idx="13">
                  <c:v>56.32</c:v>
                </c:pt>
                <c:pt idx="14">
                  <c:v>55.431428571428583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6-4BCE-8C47-6B80B12E1EDF}"/>
            </c:ext>
          </c:extLst>
        </c:ser>
        <c:ser>
          <c:idx val="1"/>
          <c:order val="1"/>
          <c:tx>
            <c:strRef>
              <c:f>data5!$C$1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data5!$A$2:$A$16</c:f>
              <c:strCache>
                <c:ptCount val="15"/>
                <c:pt idx="0">
                  <c:v>Centro</c:v>
                </c:pt>
                <c:pt idx="1">
                  <c:v>Distrito Fronterizo</c:v>
                </c:pt>
                <c:pt idx="2">
                  <c:v>Gutiérrez</c:v>
                </c:pt>
                <c:pt idx="3">
                  <c:v>La Libertad</c:v>
                </c:pt>
                <c:pt idx="4">
                  <c:v>Lengupá</c:v>
                </c:pt>
                <c:pt idx="5">
                  <c:v>Manejo especial</c:v>
                </c:pt>
                <c:pt idx="6">
                  <c:v>Márquez</c:v>
                </c:pt>
                <c:pt idx="7">
                  <c:v>Neira</c:v>
                </c:pt>
                <c:pt idx="8">
                  <c:v>Norte</c:v>
                </c:pt>
                <c:pt idx="9">
                  <c:v>Occidente</c:v>
                </c:pt>
                <c:pt idx="10">
                  <c:v>Oriente</c:v>
                </c:pt>
                <c:pt idx="11">
                  <c:v>Ricaurte</c:v>
                </c:pt>
                <c:pt idx="12">
                  <c:v>Sugamuxi</c:v>
                </c:pt>
                <c:pt idx="13">
                  <c:v>Tundama</c:v>
                </c:pt>
                <c:pt idx="14">
                  <c:v>Valderrama</c:v>
                </c:pt>
              </c:strCache>
            </c:strRef>
          </c:cat>
          <c:val>
            <c:numRef>
              <c:f>data5!$C$2:$C$16</c:f>
              <c:numCache>
                <c:formatCode>General</c:formatCode>
                <c:ptCount val="15"/>
                <c:pt idx="0">
                  <c:v>61.390666666666668</c:v>
                </c:pt>
                <c:pt idx="1">
                  <c:v>61</c:v>
                </c:pt>
                <c:pt idx="2">
                  <c:v>55.859999999999992</c:v>
                </c:pt>
                <c:pt idx="3">
                  <c:v>48.645000000000003</c:v>
                </c:pt>
                <c:pt idx="4">
                  <c:v>61.636666666666663</c:v>
                </c:pt>
                <c:pt idx="5">
                  <c:v>61.29</c:v>
                </c:pt>
                <c:pt idx="6">
                  <c:v>59.335000000000015</c:v>
                </c:pt>
                <c:pt idx="7">
                  <c:v>55.818333333333328</c:v>
                </c:pt>
                <c:pt idx="8">
                  <c:v>56.356666666666662</c:v>
                </c:pt>
                <c:pt idx="9">
                  <c:v>54.059999999999995</c:v>
                </c:pt>
                <c:pt idx="10">
                  <c:v>53.183749999999996</c:v>
                </c:pt>
                <c:pt idx="11">
                  <c:v>57.739230769230758</c:v>
                </c:pt>
                <c:pt idx="12">
                  <c:v>57.92307692307692</c:v>
                </c:pt>
                <c:pt idx="13">
                  <c:v>56.937777777777782</c:v>
                </c:pt>
                <c:pt idx="14">
                  <c:v>58.765714285714289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16-4BCE-8C47-6B80B12E1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5585471"/>
        <c:axId val="645585951"/>
      </c:barChart>
      <c:catAx>
        <c:axId val="645585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Provincia</a:t>
                </a:r>
              </a:p>
            </c:rich>
          </c:tx>
          <c:layout>
            <c:manualLayout>
              <c:xMode val="edge"/>
              <c:yMode val="edge"/>
              <c:x val="0.4428737970253718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5585951"/>
        <c:crosses val="autoZero"/>
        <c:auto val="1"/>
        <c:lblAlgn val="ctr"/>
        <c:lblOffset val="100"/>
        <c:noMultiLvlLbl val="0"/>
      </c:catAx>
      <c:valAx>
        <c:axId val="64558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Puntaje</a:t>
                </a:r>
                <a:r>
                  <a:rPr lang="es-CO" baseline="0"/>
                  <a:t> Promedio de Gestión</a:t>
                </a:r>
                <a:endParaRPr lang="es-CO"/>
              </a:p>
            </c:rich>
          </c:tx>
          <c:layout>
            <c:manualLayout>
              <c:xMode val="edge"/>
              <c:yMode val="edge"/>
              <c:x val="3.0555555555555555E-2"/>
              <c:y val="0.253240740740740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558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PUNTAJE PROMEDIO DE LA DIMENSIÓN RESULTADOS DE LA MEDICIÓN DE DESEMPEÑO MUNICIPAL PARA LAS PROVINCIAS DE BOYACÁ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2022-2023</a:t>
            </a:r>
            <a:endParaRPr lang="es-CO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data7!$B$1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data7!$A$2:$A$16</c:f>
              <c:strCache>
                <c:ptCount val="15"/>
                <c:pt idx="0">
                  <c:v>Centro</c:v>
                </c:pt>
                <c:pt idx="1">
                  <c:v>Distrito Fronterizo</c:v>
                </c:pt>
                <c:pt idx="2">
                  <c:v>Gutiérrez</c:v>
                </c:pt>
                <c:pt idx="3">
                  <c:v>La Libertad</c:v>
                </c:pt>
                <c:pt idx="4">
                  <c:v>Lengupá</c:v>
                </c:pt>
                <c:pt idx="5">
                  <c:v>Manejo especial</c:v>
                </c:pt>
                <c:pt idx="6">
                  <c:v>Márquez</c:v>
                </c:pt>
                <c:pt idx="7">
                  <c:v>Neira</c:v>
                </c:pt>
                <c:pt idx="8">
                  <c:v>Norte</c:v>
                </c:pt>
                <c:pt idx="9">
                  <c:v>Occidente</c:v>
                </c:pt>
                <c:pt idx="10">
                  <c:v>Oriente</c:v>
                </c:pt>
                <c:pt idx="11">
                  <c:v>Ricaurte</c:v>
                </c:pt>
                <c:pt idx="12">
                  <c:v>Sugamuxi</c:v>
                </c:pt>
                <c:pt idx="13">
                  <c:v>Tundama</c:v>
                </c:pt>
                <c:pt idx="14">
                  <c:v>Valderrama</c:v>
                </c:pt>
              </c:strCache>
            </c:strRef>
          </c:cat>
          <c:val>
            <c:numRef>
              <c:f>data7!$B$2:$B$16</c:f>
              <c:numCache>
                <c:formatCode>General</c:formatCode>
                <c:ptCount val="15"/>
                <c:pt idx="0">
                  <c:v>68.97399999999999</c:v>
                </c:pt>
                <c:pt idx="1">
                  <c:v>60.39</c:v>
                </c:pt>
                <c:pt idx="2">
                  <c:v>58.861666666666657</c:v>
                </c:pt>
                <c:pt idx="3">
                  <c:v>60.327500000000001</c:v>
                </c:pt>
                <c:pt idx="4">
                  <c:v>69.484999999999999</c:v>
                </c:pt>
                <c:pt idx="5">
                  <c:v>73.52</c:v>
                </c:pt>
                <c:pt idx="6">
                  <c:v>67.945999999999998</c:v>
                </c:pt>
                <c:pt idx="7">
                  <c:v>66.74666666666667</c:v>
                </c:pt>
                <c:pt idx="8">
                  <c:v>65.794444444444423</c:v>
                </c:pt>
                <c:pt idx="9">
                  <c:v>67.571999999999989</c:v>
                </c:pt>
                <c:pt idx="10">
                  <c:v>67.991249999999994</c:v>
                </c:pt>
                <c:pt idx="11">
                  <c:v>70.40384615384616</c:v>
                </c:pt>
                <c:pt idx="12">
                  <c:v>66.66153846153847</c:v>
                </c:pt>
                <c:pt idx="13">
                  <c:v>69.656666666666666</c:v>
                </c:pt>
                <c:pt idx="14">
                  <c:v>66.915714285714287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7-4D76-AFDF-95757FDEAED8}"/>
            </c:ext>
          </c:extLst>
        </c:ser>
        <c:ser>
          <c:idx val="1"/>
          <c:order val="1"/>
          <c:tx>
            <c:strRef>
              <c:f>data7!$C$1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data7!$A$2:$A$16</c:f>
              <c:strCache>
                <c:ptCount val="15"/>
                <c:pt idx="0">
                  <c:v>Centro</c:v>
                </c:pt>
                <c:pt idx="1">
                  <c:v>Distrito Fronterizo</c:v>
                </c:pt>
                <c:pt idx="2">
                  <c:v>Gutiérrez</c:v>
                </c:pt>
                <c:pt idx="3">
                  <c:v>La Libertad</c:v>
                </c:pt>
                <c:pt idx="4">
                  <c:v>Lengupá</c:v>
                </c:pt>
                <c:pt idx="5">
                  <c:v>Manejo especial</c:v>
                </c:pt>
                <c:pt idx="6">
                  <c:v>Márquez</c:v>
                </c:pt>
                <c:pt idx="7">
                  <c:v>Neira</c:v>
                </c:pt>
                <c:pt idx="8">
                  <c:v>Norte</c:v>
                </c:pt>
                <c:pt idx="9">
                  <c:v>Occidente</c:v>
                </c:pt>
                <c:pt idx="10">
                  <c:v>Oriente</c:v>
                </c:pt>
                <c:pt idx="11">
                  <c:v>Ricaurte</c:v>
                </c:pt>
                <c:pt idx="12">
                  <c:v>Sugamuxi</c:v>
                </c:pt>
                <c:pt idx="13">
                  <c:v>Tundama</c:v>
                </c:pt>
                <c:pt idx="14">
                  <c:v>Valderrama</c:v>
                </c:pt>
              </c:strCache>
            </c:strRef>
          </c:cat>
          <c:val>
            <c:numRef>
              <c:f>data7!$C$2:$C$16</c:f>
              <c:numCache>
                <c:formatCode>General</c:formatCode>
                <c:ptCount val="15"/>
                <c:pt idx="0">
                  <c:v>70.879333333333335</c:v>
                </c:pt>
                <c:pt idx="1">
                  <c:v>65.959999999999994</c:v>
                </c:pt>
                <c:pt idx="2">
                  <c:v>67.805000000000007</c:v>
                </c:pt>
                <c:pt idx="3">
                  <c:v>64.37</c:v>
                </c:pt>
                <c:pt idx="4">
                  <c:v>70.036666666666676</c:v>
                </c:pt>
                <c:pt idx="5">
                  <c:v>74.709999999999994</c:v>
                </c:pt>
                <c:pt idx="6">
                  <c:v>68.597999999999999</c:v>
                </c:pt>
                <c:pt idx="7">
                  <c:v>66.62833333333333</c:v>
                </c:pt>
                <c:pt idx="8">
                  <c:v>71.373333333333335</c:v>
                </c:pt>
                <c:pt idx="9">
                  <c:v>68.268000000000001</c:v>
                </c:pt>
                <c:pt idx="10">
                  <c:v>67.083750000000009</c:v>
                </c:pt>
                <c:pt idx="11">
                  <c:v>69.15923076923076</c:v>
                </c:pt>
                <c:pt idx="12">
                  <c:v>67.811538461538476</c:v>
                </c:pt>
                <c:pt idx="13">
                  <c:v>73.088888888888903</c:v>
                </c:pt>
                <c:pt idx="14">
                  <c:v>70.444285714285712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07-4D76-AFDF-95757FDEA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039407"/>
        <c:axId val="425039887"/>
      </c:barChart>
      <c:catAx>
        <c:axId val="425039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Provincia</a:t>
                </a:r>
              </a:p>
            </c:rich>
          </c:tx>
          <c:layout>
            <c:manualLayout>
              <c:xMode val="edge"/>
              <c:yMode val="edge"/>
              <c:x val="0.44961944444444446"/>
              <c:y val="0.805689444444444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5039887"/>
        <c:crosses val="autoZero"/>
        <c:auto val="1"/>
        <c:lblAlgn val="ctr"/>
        <c:lblOffset val="100"/>
        <c:noMultiLvlLbl val="0"/>
      </c:catAx>
      <c:valAx>
        <c:axId val="42503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Puntaje Promedio de Resultados</a:t>
                </a:r>
              </a:p>
            </c:rich>
          </c:tx>
          <c:layout>
            <c:manualLayout>
              <c:xMode val="edge"/>
              <c:yMode val="edge"/>
              <c:x val="2.1709401709401711E-2"/>
              <c:y val="0.224719444444444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503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1114425</xdr:colOff>
      <xdr:row>24</xdr:row>
      <xdr:rowOff>6350</xdr:rowOff>
    </xdr:from>
    <xdr:to>
      <xdr:col>7</xdr:col>
      <xdr:colOff>176825</xdr:colOff>
      <xdr:row>43</xdr:row>
      <xdr:rowOff>35500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B89B02-2C71-F503-72B9-2F3225ECA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</xdr:colOff>
      <xdr:row>12</xdr:row>
      <xdr:rowOff>6350</xdr:rowOff>
    </xdr:from>
    <xdr:to>
      <xdr:col>5</xdr:col>
      <xdr:colOff>195775</xdr:colOff>
      <xdr:row>30</xdr:row>
      <xdr:rowOff>111650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603824-60A5-697A-3921-2A91A718D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</xdr:colOff>
      <xdr:row>23</xdr:row>
      <xdr:rowOff>177800</xdr:rowOff>
    </xdr:from>
    <xdr:to>
      <xdr:col>7</xdr:col>
      <xdr:colOff>111175</xdr:colOff>
      <xdr:row>43</xdr:row>
      <xdr:rowOff>94800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DE93319-E7C4-2F68-287A-795800547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</xdr:colOff>
      <xdr:row>23</xdr:row>
      <xdr:rowOff>6350</xdr:rowOff>
    </xdr:from>
    <xdr:to>
      <xdr:col>7</xdr:col>
      <xdr:colOff>111175</xdr:colOff>
      <xdr:row>42</xdr:row>
      <xdr:rowOff>107500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C0479F-431A-D552-10BB-3922E95A7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MILO%20CHAPARRO/Desktop/Codigos%20Dane%20municip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e municipios"/>
    </sheetNames>
    <sheetDataSet>
      <sheetData sheetId="0">
        <row r="199">
          <cell r="B199" t="str">
            <v>TUNJA</v>
          </cell>
          <cell r="C199">
            <v>15001</v>
          </cell>
        </row>
        <row r="200">
          <cell r="B200" t="str">
            <v>ALMEIDA</v>
          </cell>
          <cell r="C200">
            <v>15022</v>
          </cell>
        </row>
        <row r="201">
          <cell r="B201" t="str">
            <v>AQUITANIA</v>
          </cell>
          <cell r="C201">
            <v>15047</v>
          </cell>
        </row>
        <row r="202">
          <cell r="B202" t="str">
            <v>ARCABUCO</v>
          </cell>
          <cell r="C202">
            <v>15051</v>
          </cell>
        </row>
        <row r="203">
          <cell r="B203" t="str">
            <v>BELEN</v>
          </cell>
          <cell r="C203">
            <v>15087</v>
          </cell>
        </row>
        <row r="204">
          <cell r="B204" t="str">
            <v>BERBEO</v>
          </cell>
          <cell r="C204">
            <v>15090</v>
          </cell>
        </row>
        <row r="205">
          <cell r="B205" t="str">
            <v>BETEITIVA</v>
          </cell>
          <cell r="C205">
            <v>15092</v>
          </cell>
        </row>
        <row r="206">
          <cell r="B206" t="str">
            <v>BOAVITA</v>
          </cell>
          <cell r="C206">
            <v>15097</v>
          </cell>
        </row>
        <row r="207">
          <cell r="B207" t="str">
            <v>BOYACA</v>
          </cell>
          <cell r="C207">
            <v>15104</v>
          </cell>
        </row>
        <row r="208">
          <cell r="B208" t="str">
            <v>BRICEÑO</v>
          </cell>
          <cell r="C208">
            <v>15106</v>
          </cell>
        </row>
        <row r="209">
          <cell r="B209" t="str">
            <v>BUENAVISTA</v>
          </cell>
          <cell r="C209">
            <v>15109</v>
          </cell>
        </row>
        <row r="210">
          <cell r="B210" t="str">
            <v>BUSBANZA</v>
          </cell>
          <cell r="C210">
            <v>15114</v>
          </cell>
        </row>
        <row r="211">
          <cell r="B211" t="str">
            <v>CALDAS</v>
          </cell>
          <cell r="C211">
            <v>15131</v>
          </cell>
        </row>
        <row r="212">
          <cell r="B212" t="str">
            <v>CAMPOHERMOSO</v>
          </cell>
          <cell r="C212">
            <v>15135</v>
          </cell>
        </row>
        <row r="213">
          <cell r="B213" t="str">
            <v>CERINZA</v>
          </cell>
          <cell r="C213">
            <v>15162</v>
          </cell>
        </row>
        <row r="214">
          <cell r="B214" t="str">
            <v>CHINAVITA</v>
          </cell>
          <cell r="C214">
            <v>15172</v>
          </cell>
        </row>
        <row r="215">
          <cell r="B215" t="str">
            <v>CHIQUINQUIRA</v>
          </cell>
          <cell r="C215">
            <v>15176</v>
          </cell>
        </row>
        <row r="216">
          <cell r="B216" t="str">
            <v>CHISCAS</v>
          </cell>
          <cell r="C216">
            <v>15180</v>
          </cell>
        </row>
        <row r="217">
          <cell r="B217" t="str">
            <v>CHITA</v>
          </cell>
          <cell r="C217">
            <v>15183</v>
          </cell>
        </row>
        <row r="218">
          <cell r="B218" t="str">
            <v>CHITARAQUE</v>
          </cell>
          <cell r="C218">
            <v>15185</v>
          </cell>
        </row>
        <row r="219">
          <cell r="B219" t="str">
            <v>CHIVATA</v>
          </cell>
          <cell r="C219">
            <v>15187</v>
          </cell>
        </row>
        <row r="220">
          <cell r="B220" t="str">
            <v>CIENEGA</v>
          </cell>
          <cell r="C220">
            <v>15189</v>
          </cell>
        </row>
        <row r="221">
          <cell r="B221" t="str">
            <v>COMBITA</v>
          </cell>
          <cell r="C221">
            <v>15204</v>
          </cell>
        </row>
        <row r="222">
          <cell r="B222" t="str">
            <v>COPER</v>
          </cell>
          <cell r="C222">
            <v>15212</v>
          </cell>
        </row>
        <row r="223">
          <cell r="B223" t="str">
            <v>CORRALES</v>
          </cell>
          <cell r="C223">
            <v>15215</v>
          </cell>
        </row>
        <row r="224">
          <cell r="B224" t="str">
            <v>COVARACHIA</v>
          </cell>
          <cell r="C224">
            <v>15218</v>
          </cell>
        </row>
        <row r="225">
          <cell r="B225" t="str">
            <v>CUBARA</v>
          </cell>
          <cell r="C225">
            <v>15223</v>
          </cell>
        </row>
        <row r="226">
          <cell r="B226" t="str">
            <v>CUCAITA</v>
          </cell>
          <cell r="C226">
            <v>15224</v>
          </cell>
        </row>
        <row r="227">
          <cell r="B227" t="str">
            <v>CUITIVA</v>
          </cell>
          <cell r="C227">
            <v>15226</v>
          </cell>
        </row>
        <row r="228">
          <cell r="B228" t="str">
            <v>CHIQUIZA</v>
          </cell>
          <cell r="C228">
            <v>15232</v>
          </cell>
        </row>
        <row r="229">
          <cell r="B229" t="str">
            <v>CHIVOR</v>
          </cell>
          <cell r="C229">
            <v>15236</v>
          </cell>
        </row>
        <row r="230">
          <cell r="B230" t="str">
            <v>DUITAMA</v>
          </cell>
          <cell r="C230">
            <v>15238</v>
          </cell>
        </row>
        <row r="231">
          <cell r="B231" t="str">
            <v>EL COCUY</v>
          </cell>
          <cell r="C231">
            <v>15244</v>
          </cell>
        </row>
        <row r="232">
          <cell r="B232" t="str">
            <v>EL ESPINO</v>
          </cell>
          <cell r="C232">
            <v>15248</v>
          </cell>
        </row>
        <row r="233">
          <cell r="B233" t="str">
            <v>FIRAVITOBA</v>
          </cell>
          <cell r="C233">
            <v>15272</v>
          </cell>
        </row>
        <row r="234">
          <cell r="B234" t="str">
            <v>FLORESTA</v>
          </cell>
          <cell r="C234">
            <v>15276</v>
          </cell>
        </row>
        <row r="235">
          <cell r="B235" t="str">
            <v>GACHANTIVA</v>
          </cell>
          <cell r="C235">
            <v>15293</v>
          </cell>
        </row>
        <row r="236">
          <cell r="B236" t="str">
            <v>GAMEZA</v>
          </cell>
          <cell r="C236">
            <v>15296</v>
          </cell>
        </row>
        <row r="237">
          <cell r="B237" t="str">
            <v>GARAGOA</v>
          </cell>
          <cell r="C237">
            <v>15299</v>
          </cell>
        </row>
        <row r="238">
          <cell r="B238" t="str">
            <v>GUACAMAYAS</v>
          </cell>
          <cell r="C238">
            <v>15317</v>
          </cell>
        </row>
        <row r="239">
          <cell r="B239" t="str">
            <v>GUATEQUE</v>
          </cell>
          <cell r="C239">
            <v>15322</v>
          </cell>
        </row>
        <row r="240">
          <cell r="B240" t="str">
            <v>GUAYATA</v>
          </cell>
          <cell r="C240">
            <v>15325</v>
          </cell>
        </row>
        <row r="241">
          <cell r="B241" t="str">
            <v>GÜICAN</v>
          </cell>
          <cell r="C241">
            <v>15332</v>
          </cell>
        </row>
        <row r="242">
          <cell r="B242" t="str">
            <v>IZA</v>
          </cell>
          <cell r="C242">
            <v>15362</v>
          </cell>
        </row>
        <row r="243">
          <cell r="B243" t="str">
            <v>JENESANO</v>
          </cell>
          <cell r="C243">
            <v>15367</v>
          </cell>
        </row>
        <row r="244">
          <cell r="B244" t="str">
            <v>JERICO</v>
          </cell>
          <cell r="C244">
            <v>15368</v>
          </cell>
        </row>
        <row r="245">
          <cell r="B245" t="str">
            <v>LABRANZAGRANDE</v>
          </cell>
          <cell r="C245">
            <v>15377</v>
          </cell>
        </row>
        <row r="246">
          <cell r="B246" t="str">
            <v>LA CAPILLA</v>
          </cell>
          <cell r="C246">
            <v>15380</v>
          </cell>
        </row>
        <row r="247">
          <cell r="B247" t="str">
            <v>LA VICTORIA</v>
          </cell>
          <cell r="C247">
            <v>15401</v>
          </cell>
        </row>
        <row r="248">
          <cell r="B248" t="str">
            <v>LA UVITA</v>
          </cell>
          <cell r="C248">
            <v>15403</v>
          </cell>
        </row>
        <row r="249">
          <cell r="B249" t="str">
            <v>VILLA DE LEYVA</v>
          </cell>
          <cell r="C249">
            <v>15407</v>
          </cell>
        </row>
        <row r="250">
          <cell r="B250" t="str">
            <v>MACANAL</v>
          </cell>
          <cell r="C250">
            <v>15425</v>
          </cell>
        </row>
        <row r="251">
          <cell r="B251" t="str">
            <v>MARIPI</v>
          </cell>
          <cell r="C251">
            <v>15442</v>
          </cell>
        </row>
        <row r="252">
          <cell r="B252" t="str">
            <v>MIRAFLORES</v>
          </cell>
          <cell r="C252">
            <v>15455</v>
          </cell>
        </row>
        <row r="253">
          <cell r="B253" t="str">
            <v>MONGUA</v>
          </cell>
          <cell r="C253">
            <v>15464</v>
          </cell>
        </row>
        <row r="254">
          <cell r="B254" t="str">
            <v>MONGUI</v>
          </cell>
          <cell r="C254">
            <v>15466</v>
          </cell>
        </row>
        <row r="255">
          <cell r="B255" t="str">
            <v>MONIQUIRA</v>
          </cell>
          <cell r="C255">
            <v>15469</v>
          </cell>
        </row>
        <row r="256">
          <cell r="B256" t="str">
            <v>MOTAVITA</v>
          </cell>
          <cell r="C256">
            <v>15476</v>
          </cell>
        </row>
        <row r="257">
          <cell r="B257" t="str">
            <v>MUZO</v>
          </cell>
          <cell r="C257">
            <v>15480</v>
          </cell>
        </row>
        <row r="258">
          <cell r="B258" t="str">
            <v>NOBSA</v>
          </cell>
          <cell r="C258">
            <v>15491</v>
          </cell>
        </row>
        <row r="259">
          <cell r="B259" t="str">
            <v>NUEVO COLON</v>
          </cell>
          <cell r="C259">
            <v>15494</v>
          </cell>
        </row>
        <row r="260">
          <cell r="B260" t="str">
            <v>OICATA</v>
          </cell>
          <cell r="C260">
            <v>15500</v>
          </cell>
        </row>
        <row r="261">
          <cell r="B261" t="str">
            <v>OTANCHE</v>
          </cell>
          <cell r="C261">
            <v>15507</v>
          </cell>
        </row>
        <row r="262">
          <cell r="B262" t="str">
            <v>PACHAVITA</v>
          </cell>
          <cell r="C262">
            <v>15511</v>
          </cell>
        </row>
        <row r="263">
          <cell r="B263" t="str">
            <v>PAEZ</v>
          </cell>
          <cell r="C263">
            <v>15514</v>
          </cell>
        </row>
        <row r="264">
          <cell r="B264" t="str">
            <v>PAIPA</v>
          </cell>
          <cell r="C264">
            <v>15516</v>
          </cell>
        </row>
        <row r="265">
          <cell r="B265" t="str">
            <v>PAJARITO</v>
          </cell>
          <cell r="C265">
            <v>15518</v>
          </cell>
        </row>
        <row r="266">
          <cell r="B266" t="str">
            <v>PANQUEBA</v>
          </cell>
          <cell r="C266">
            <v>15522</v>
          </cell>
        </row>
        <row r="267">
          <cell r="B267" t="str">
            <v>PAUNA</v>
          </cell>
          <cell r="C267">
            <v>15531</v>
          </cell>
        </row>
        <row r="268">
          <cell r="B268" t="str">
            <v>PAYA</v>
          </cell>
          <cell r="C268">
            <v>15533</v>
          </cell>
        </row>
        <row r="269">
          <cell r="B269" t="str">
            <v>PAZ DE RIO</v>
          </cell>
          <cell r="C269">
            <v>15537</v>
          </cell>
        </row>
        <row r="270">
          <cell r="B270" t="str">
            <v>PESCA</v>
          </cell>
          <cell r="C270">
            <v>15542</v>
          </cell>
        </row>
        <row r="271">
          <cell r="B271" t="str">
            <v>PISBA</v>
          </cell>
          <cell r="C271">
            <v>15550</v>
          </cell>
        </row>
        <row r="272">
          <cell r="B272" t="str">
            <v>PUERTO BOYACA</v>
          </cell>
          <cell r="C272">
            <v>15572</v>
          </cell>
        </row>
        <row r="273">
          <cell r="B273" t="str">
            <v>QUIPAMA</v>
          </cell>
          <cell r="C273">
            <v>15580</v>
          </cell>
        </row>
        <row r="274">
          <cell r="B274" t="str">
            <v>RAMIRIQUI</v>
          </cell>
          <cell r="C274">
            <v>15599</v>
          </cell>
        </row>
        <row r="275">
          <cell r="B275" t="str">
            <v>RAQUIRA</v>
          </cell>
          <cell r="C275">
            <v>15600</v>
          </cell>
        </row>
        <row r="276">
          <cell r="B276" t="str">
            <v>RONDON</v>
          </cell>
          <cell r="C276">
            <v>15621</v>
          </cell>
        </row>
        <row r="277">
          <cell r="B277" t="str">
            <v>SABOYA</v>
          </cell>
          <cell r="C277">
            <v>15632</v>
          </cell>
        </row>
        <row r="278">
          <cell r="B278" t="str">
            <v>SACHICA</v>
          </cell>
          <cell r="C278">
            <v>15638</v>
          </cell>
        </row>
        <row r="279">
          <cell r="B279" t="str">
            <v>SAMACA</v>
          </cell>
          <cell r="C279">
            <v>15646</v>
          </cell>
        </row>
        <row r="280">
          <cell r="B280" t="str">
            <v>SAN EDUARDO</v>
          </cell>
          <cell r="C280">
            <v>15660</v>
          </cell>
        </row>
        <row r="281">
          <cell r="B281" t="str">
            <v>SAN JOSE DE PARE</v>
          </cell>
          <cell r="C281">
            <v>15664</v>
          </cell>
        </row>
        <row r="282">
          <cell r="B282" t="str">
            <v>SAN LUIS DE GACENO</v>
          </cell>
          <cell r="C282">
            <v>15667</v>
          </cell>
        </row>
        <row r="283">
          <cell r="B283" t="str">
            <v>SAN MATEO</v>
          </cell>
          <cell r="C283">
            <v>15673</v>
          </cell>
        </row>
        <row r="284">
          <cell r="B284" t="str">
            <v>SAN MIGUEL DE SEMA</v>
          </cell>
          <cell r="C284">
            <v>15676</v>
          </cell>
        </row>
        <row r="285">
          <cell r="B285" t="str">
            <v>SAN PABLO DE BORBUR</v>
          </cell>
          <cell r="C285">
            <v>15681</v>
          </cell>
        </row>
        <row r="286">
          <cell r="B286" t="str">
            <v>SANTANA</v>
          </cell>
          <cell r="C286">
            <v>15686</v>
          </cell>
        </row>
        <row r="287">
          <cell r="B287" t="str">
            <v>SANTA MARIA</v>
          </cell>
          <cell r="C287">
            <v>15690</v>
          </cell>
        </row>
        <row r="288">
          <cell r="B288" t="str">
            <v>SANTA ROSA DE VITERBO</v>
          </cell>
          <cell r="C288">
            <v>15693</v>
          </cell>
        </row>
        <row r="289">
          <cell r="B289" t="str">
            <v>SANTA SOFIA</v>
          </cell>
          <cell r="C289">
            <v>15696</v>
          </cell>
        </row>
        <row r="290">
          <cell r="B290" t="str">
            <v>SATIVANORTE</v>
          </cell>
          <cell r="C290">
            <v>15720</v>
          </cell>
        </row>
        <row r="291">
          <cell r="B291" t="str">
            <v>SATIVASUR</v>
          </cell>
          <cell r="C291">
            <v>15723</v>
          </cell>
        </row>
        <row r="292">
          <cell r="B292" t="str">
            <v>SIACHOQUE</v>
          </cell>
          <cell r="C292">
            <v>15740</v>
          </cell>
        </row>
        <row r="293">
          <cell r="B293" t="str">
            <v>SOATA</v>
          </cell>
          <cell r="C293">
            <v>15753</v>
          </cell>
        </row>
        <row r="294">
          <cell r="B294" t="str">
            <v>SOCOTA</v>
          </cell>
          <cell r="C294">
            <v>15755</v>
          </cell>
        </row>
        <row r="295">
          <cell r="B295" t="str">
            <v>SOCHA</v>
          </cell>
          <cell r="C295">
            <v>15757</v>
          </cell>
        </row>
        <row r="296">
          <cell r="B296" t="str">
            <v>SOGAMOSO</v>
          </cell>
          <cell r="C296">
            <v>15759</v>
          </cell>
        </row>
        <row r="297">
          <cell r="B297" t="str">
            <v>SOMONDOCO</v>
          </cell>
          <cell r="C297">
            <v>15761</v>
          </cell>
        </row>
        <row r="298">
          <cell r="B298" t="str">
            <v>SORA</v>
          </cell>
          <cell r="C298">
            <v>15762</v>
          </cell>
        </row>
        <row r="299">
          <cell r="B299" t="str">
            <v>SOTAQUIRA</v>
          </cell>
          <cell r="C299">
            <v>15763</v>
          </cell>
        </row>
        <row r="300">
          <cell r="B300" t="str">
            <v>SORACA</v>
          </cell>
          <cell r="C300">
            <v>15764</v>
          </cell>
        </row>
        <row r="301">
          <cell r="B301" t="str">
            <v>SUSACON</v>
          </cell>
          <cell r="C301">
            <v>15774</v>
          </cell>
        </row>
        <row r="302">
          <cell r="B302" t="str">
            <v>SUTAMARCHAN</v>
          </cell>
          <cell r="C302">
            <v>15776</v>
          </cell>
        </row>
        <row r="303">
          <cell r="B303" t="str">
            <v>SUTATENZA</v>
          </cell>
          <cell r="C303">
            <v>15778</v>
          </cell>
        </row>
        <row r="304">
          <cell r="B304" t="str">
            <v>TASCO</v>
          </cell>
          <cell r="C304">
            <v>15790</v>
          </cell>
        </row>
        <row r="305">
          <cell r="B305" t="str">
            <v>TENZA</v>
          </cell>
          <cell r="C305">
            <v>15798</v>
          </cell>
        </row>
        <row r="306">
          <cell r="B306" t="str">
            <v>TIBANA</v>
          </cell>
          <cell r="C306">
            <v>15804</v>
          </cell>
        </row>
        <row r="307">
          <cell r="B307" t="str">
            <v>TIBASOSA</v>
          </cell>
          <cell r="C307">
            <v>15806</v>
          </cell>
        </row>
        <row r="308">
          <cell r="B308" t="str">
            <v>TINJACA</v>
          </cell>
          <cell r="C308">
            <v>15808</v>
          </cell>
        </row>
        <row r="309">
          <cell r="B309" t="str">
            <v>TIPACOQUE</v>
          </cell>
          <cell r="C309">
            <v>15810</v>
          </cell>
        </row>
        <row r="310">
          <cell r="B310" t="str">
            <v>TOCA</v>
          </cell>
          <cell r="C310">
            <v>15814</v>
          </cell>
        </row>
        <row r="311">
          <cell r="B311" t="str">
            <v>TOGÜI</v>
          </cell>
          <cell r="C311">
            <v>15816</v>
          </cell>
        </row>
        <row r="312">
          <cell r="B312" t="str">
            <v>TOPAGA</v>
          </cell>
          <cell r="C312">
            <v>15820</v>
          </cell>
        </row>
        <row r="313">
          <cell r="B313" t="str">
            <v>TOTA</v>
          </cell>
          <cell r="C313">
            <v>15822</v>
          </cell>
        </row>
        <row r="314">
          <cell r="B314" t="str">
            <v>TUNUNGUA</v>
          </cell>
          <cell r="C314">
            <v>15832</v>
          </cell>
        </row>
        <row r="315">
          <cell r="B315" t="str">
            <v>TURMEQUE</v>
          </cell>
          <cell r="C315">
            <v>15835</v>
          </cell>
        </row>
        <row r="316">
          <cell r="B316" t="str">
            <v>TUTA</v>
          </cell>
          <cell r="C316">
            <v>15837</v>
          </cell>
        </row>
        <row r="317">
          <cell r="B317" t="str">
            <v>TUTAZA</v>
          </cell>
          <cell r="C317">
            <v>15839</v>
          </cell>
        </row>
        <row r="318">
          <cell r="B318" t="str">
            <v>UMBITA</v>
          </cell>
          <cell r="C318">
            <v>15842</v>
          </cell>
        </row>
        <row r="319">
          <cell r="B319" t="str">
            <v>VENTAQUEMADA</v>
          </cell>
          <cell r="C319">
            <v>15861</v>
          </cell>
        </row>
        <row r="320">
          <cell r="B320" t="str">
            <v>VIRACACHA</v>
          </cell>
          <cell r="C320">
            <v>15879</v>
          </cell>
        </row>
        <row r="321">
          <cell r="B321" t="str">
            <v>ZETAQUIRA</v>
          </cell>
          <cell r="C321">
            <v>15897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B6" sqref="B6"/>
    </sheetView>
  </sheetViews>
  <sheetFormatPr baseColWidth="10" defaultColWidth="8.81640625" defaultRowHeight="14.5" x14ac:dyDescent="0.35"/>
  <cols>
    <col min="1" max="1" width="12.08984375" bestFit="1" customWidth="1"/>
    <col min="5" max="5" width="11.81640625" customWidth="1"/>
  </cols>
  <sheetData>
    <row r="1" spans="1:6" x14ac:dyDescent="0.35">
      <c r="A1" s="1" t="s">
        <v>0</v>
      </c>
      <c r="B1" s="1" t="s">
        <v>6</v>
      </c>
    </row>
    <row r="2" spans="1:6" x14ac:dyDescent="0.35">
      <c r="A2" s="1" t="s">
        <v>1</v>
      </c>
      <c r="B2" s="1" t="s">
        <v>7</v>
      </c>
      <c r="C2" s="1"/>
      <c r="D2" s="1"/>
      <c r="E2" s="1"/>
    </row>
    <row r="3" spans="1:6" x14ac:dyDescent="0.35">
      <c r="A3" s="1" t="s">
        <v>2</v>
      </c>
      <c r="B3" s="1" t="s">
        <v>6</v>
      </c>
      <c r="C3" s="1"/>
      <c r="D3" s="1"/>
      <c r="E3" s="1"/>
      <c r="F3" s="1"/>
    </row>
    <row r="4" spans="1:6" x14ac:dyDescent="0.35">
      <c r="A4" s="1" t="s">
        <v>3</v>
      </c>
      <c r="B4" s="1" t="s">
        <v>8</v>
      </c>
    </row>
    <row r="5" spans="1:6" x14ac:dyDescent="0.35">
      <c r="A5" s="1" t="s">
        <v>4</v>
      </c>
      <c r="B5" s="1" t="s">
        <v>6</v>
      </c>
    </row>
    <row r="6" spans="1:6" x14ac:dyDescent="0.35">
      <c r="A6" t="s">
        <v>5</v>
      </c>
      <c r="B6" t="s">
        <v>9</v>
      </c>
      <c r="C6" s="1"/>
      <c r="D6" s="1"/>
      <c r="E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6EA2-B09C-40D9-95E0-0D4CE2C9CE9D}">
  <dimension ref="A1:C23"/>
  <sheetViews>
    <sheetView topLeftCell="A18" workbookViewId="0">
      <selection activeCell="A2" sqref="A2"/>
    </sheetView>
  </sheetViews>
  <sheetFormatPr baseColWidth="10" defaultRowHeight="14.5" x14ac:dyDescent="0.35"/>
  <cols>
    <col min="1" max="1" width="16" bestFit="1" customWidth="1"/>
  </cols>
  <sheetData>
    <row r="1" spans="1:3" x14ac:dyDescent="0.35">
      <c r="A1" s="8" t="s">
        <v>16</v>
      </c>
      <c r="B1" s="8">
        <v>2022</v>
      </c>
      <c r="C1" s="8">
        <v>2023</v>
      </c>
    </row>
    <row r="2" spans="1:3" x14ac:dyDescent="0.35">
      <c r="A2" s="3" t="s">
        <v>20</v>
      </c>
      <c r="B2">
        <v>59.660000000000004</v>
      </c>
      <c r="C2">
        <v>62.110666666666681</v>
      </c>
    </row>
    <row r="3" spans="1:3" x14ac:dyDescent="0.35">
      <c r="A3" s="3" t="s">
        <v>21</v>
      </c>
      <c r="B3">
        <v>55.76</v>
      </c>
      <c r="C3">
        <v>63.12</v>
      </c>
    </row>
    <row r="4" spans="1:3" x14ac:dyDescent="0.35">
      <c r="A4" s="3" t="s">
        <v>22</v>
      </c>
      <c r="B4">
        <v>53.62166666666667</v>
      </c>
      <c r="C4">
        <v>59.16</v>
      </c>
    </row>
    <row r="5" spans="1:3" x14ac:dyDescent="0.35">
      <c r="A5" s="3" t="s">
        <v>23</v>
      </c>
      <c r="B5">
        <v>46.457499999999996</v>
      </c>
      <c r="C5">
        <v>49.772499999999994</v>
      </c>
    </row>
    <row r="6" spans="1:3" x14ac:dyDescent="0.35">
      <c r="A6" s="3" t="s">
        <v>24</v>
      </c>
      <c r="B6">
        <v>57.389999999999993</v>
      </c>
      <c r="C6">
        <v>61.844999999999999</v>
      </c>
    </row>
    <row r="7" spans="1:3" x14ac:dyDescent="0.35">
      <c r="A7" s="3" t="s">
        <v>25</v>
      </c>
      <c r="B7">
        <v>61.21</v>
      </c>
      <c r="C7">
        <v>61.71</v>
      </c>
    </row>
    <row r="8" spans="1:3" x14ac:dyDescent="0.35">
      <c r="A8" s="3" t="s">
        <v>26</v>
      </c>
      <c r="B8">
        <v>57.511999999999986</v>
      </c>
      <c r="C8">
        <v>59.535000000000004</v>
      </c>
    </row>
    <row r="9" spans="1:3" x14ac:dyDescent="0.35">
      <c r="A9" s="3" t="s">
        <v>27</v>
      </c>
      <c r="B9">
        <v>55.011666666666663</v>
      </c>
      <c r="C9">
        <v>55.828333333333326</v>
      </c>
    </row>
    <row r="10" spans="1:3" x14ac:dyDescent="0.35">
      <c r="A10" s="3" t="s">
        <v>28</v>
      </c>
      <c r="B10">
        <v>48.74666666666667</v>
      </c>
      <c r="C10">
        <v>58.277777777777779</v>
      </c>
    </row>
    <row r="11" spans="1:3" x14ac:dyDescent="0.35">
      <c r="A11" s="3" t="s">
        <v>29</v>
      </c>
      <c r="B11">
        <v>50.129333333333335</v>
      </c>
      <c r="C11">
        <v>54.295999999999999</v>
      </c>
    </row>
    <row r="12" spans="1:3" x14ac:dyDescent="0.35">
      <c r="A12" s="3" t="s">
        <v>30</v>
      </c>
      <c r="B12">
        <v>52.811250000000001</v>
      </c>
      <c r="C12">
        <v>52.914999999999999</v>
      </c>
    </row>
    <row r="13" spans="1:3" x14ac:dyDescent="0.35">
      <c r="A13" s="3" t="s">
        <v>31</v>
      </c>
      <c r="B13">
        <v>56.734615384615388</v>
      </c>
      <c r="C13">
        <v>57.362307692307695</v>
      </c>
    </row>
    <row r="14" spans="1:3" x14ac:dyDescent="0.35">
      <c r="A14" s="3" t="s">
        <v>32</v>
      </c>
      <c r="B14">
        <v>55.553846153846159</v>
      </c>
      <c r="C14">
        <v>58.284615384615385</v>
      </c>
    </row>
    <row r="15" spans="1:3" x14ac:dyDescent="0.35">
      <c r="A15" s="3" t="s">
        <v>33</v>
      </c>
      <c r="B15">
        <v>55.31444444444444</v>
      </c>
      <c r="C15">
        <v>58.13666666666667</v>
      </c>
    </row>
    <row r="16" spans="1:3" x14ac:dyDescent="0.35">
      <c r="A16" s="3" t="s">
        <v>34</v>
      </c>
      <c r="B16">
        <v>53.95</v>
      </c>
      <c r="C16">
        <v>60.021428571428565</v>
      </c>
    </row>
    <row r="18" spans="1:2" x14ac:dyDescent="0.35">
      <c r="A18" s="1" t="s">
        <v>2</v>
      </c>
      <c r="B18" t="s">
        <v>10</v>
      </c>
    </row>
    <row r="19" spans="1:2" x14ac:dyDescent="0.35">
      <c r="A19" s="1" t="s">
        <v>11</v>
      </c>
      <c r="B19" t="s">
        <v>12</v>
      </c>
    </row>
    <row r="20" spans="1:2" x14ac:dyDescent="0.35">
      <c r="A20" s="1" t="s">
        <v>13</v>
      </c>
      <c r="B20" t="s">
        <v>14</v>
      </c>
    </row>
    <row r="21" spans="1:2" x14ac:dyDescent="0.35">
      <c r="A21" s="1" t="s">
        <v>15</v>
      </c>
      <c r="B21" t="s">
        <v>16</v>
      </c>
    </row>
    <row r="23" spans="1:2" x14ac:dyDescent="0.35">
      <c r="A23" s="1" t="s">
        <v>17</v>
      </c>
      <c r="B23" t="s">
        <v>134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4352-54C6-4E4A-96D6-22C5279FCC9F}">
  <dimension ref="A1:D253"/>
  <sheetViews>
    <sheetView workbookViewId="0">
      <selection activeCell="B1" sqref="B1:B1048576"/>
    </sheetView>
  </sheetViews>
  <sheetFormatPr baseColWidth="10" defaultRowHeight="14.5" x14ac:dyDescent="0.35"/>
  <cols>
    <col min="1" max="1" width="13.08984375" customWidth="1"/>
    <col min="4" max="4" width="31" bestFit="1" customWidth="1"/>
  </cols>
  <sheetData>
    <row r="1" spans="1:4" x14ac:dyDescent="0.35">
      <c r="A1" s="4" t="s">
        <v>38</v>
      </c>
      <c r="B1" s="4" t="s">
        <v>39</v>
      </c>
      <c r="C1" s="5" t="s">
        <v>40</v>
      </c>
      <c r="D1" s="5" t="s">
        <v>41</v>
      </c>
    </row>
    <row r="2" spans="1:4" x14ac:dyDescent="0.35">
      <c r="A2">
        <f>VLOOKUP(B2,'[1]Dane municipios'!$B$199:$C$321,2,0)</f>
        <v>15001</v>
      </c>
      <c r="B2" t="s">
        <v>42</v>
      </c>
      <c r="C2">
        <v>2022</v>
      </c>
      <c r="D2">
        <v>75.28</v>
      </c>
    </row>
    <row r="3" spans="1:4" x14ac:dyDescent="0.35">
      <c r="A3">
        <f>VLOOKUP(B3,'[1]Dane municipios'!$B$199:$C$321,2,0)</f>
        <v>15022</v>
      </c>
      <c r="B3" t="s">
        <v>43</v>
      </c>
      <c r="C3">
        <v>2022</v>
      </c>
      <c r="D3">
        <v>62.36</v>
      </c>
    </row>
    <row r="4" spans="1:4" x14ac:dyDescent="0.35">
      <c r="A4">
        <f>VLOOKUP(B4,'[1]Dane municipios'!$B$199:$C$321,2,0)</f>
        <v>15047</v>
      </c>
      <c r="B4" t="s">
        <v>44</v>
      </c>
      <c r="C4">
        <v>2022</v>
      </c>
      <c r="D4">
        <v>48.82</v>
      </c>
    </row>
    <row r="5" spans="1:4" x14ac:dyDescent="0.35">
      <c r="A5">
        <f>VLOOKUP(B5,'[1]Dane municipios'!$B$199:$C$321,2,0)</f>
        <v>15051</v>
      </c>
      <c r="B5" t="s">
        <v>45</v>
      </c>
      <c r="C5">
        <v>2022</v>
      </c>
      <c r="D5">
        <v>56.48</v>
      </c>
    </row>
    <row r="6" spans="1:4" x14ac:dyDescent="0.35">
      <c r="A6">
        <f>VLOOKUP(B6,'[1]Dane municipios'!$B$199:$C$321,2,0)</f>
        <v>15087</v>
      </c>
      <c r="B6" t="s">
        <v>135</v>
      </c>
      <c r="C6">
        <v>2022</v>
      </c>
      <c r="D6">
        <v>49.88</v>
      </c>
    </row>
    <row r="7" spans="1:4" x14ac:dyDescent="0.35">
      <c r="A7">
        <f>VLOOKUP(B7,'[1]Dane municipios'!$B$199:$C$321,2,0)</f>
        <v>15090</v>
      </c>
      <c r="B7" t="s">
        <v>46</v>
      </c>
      <c r="C7">
        <v>2022</v>
      </c>
      <c r="D7">
        <v>54.8</v>
      </c>
    </row>
    <row r="8" spans="1:4" x14ac:dyDescent="0.35">
      <c r="A8">
        <f>VLOOKUP(B8,'[1]Dane municipios'!$B$199:$C$321,2,0)</f>
        <v>15092</v>
      </c>
      <c r="B8" t="s">
        <v>136</v>
      </c>
      <c r="C8">
        <v>2022</v>
      </c>
      <c r="D8">
        <v>56.78</v>
      </c>
    </row>
    <row r="9" spans="1:4" x14ac:dyDescent="0.35">
      <c r="A9">
        <f>VLOOKUP(B9,'[1]Dane municipios'!$B$199:$C$321,2,0)</f>
        <v>15097</v>
      </c>
      <c r="B9" t="s">
        <v>47</v>
      </c>
      <c r="C9">
        <v>2022</v>
      </c>
      <c r="D9">
        <v>51.55</v>
      </c>
    </row>
    <row r="10" spans="1:4" x14ac:dyDescent="0.35">
      <c r="A10">
        <f>VLOOKUP(B10,'[1]Dane municipios'!$B$199:$C$321,2,0)</f>
        <v>15104</v>
      </c>
      <c r="B10" t="s">
        <v>137</v>
      </c>
      <c r="C10">
        <v>2022</v>
      </c>
      <c r="D10">
        <v>55.51</v>
      </c>
    </row>
    <row r="11" spans="1:4" x14ac:dyDescent="0.35">
      <c r="A11">
        <f>VLOOKUP(B11,'[1]Dane municipios'!$B$199:$C$321,2,0)</f>
        <v>15106</v>
      </c>
      <c r="B11" t="s">
        <v>48</v>
      </c>
      <c r="C11">
        <v>2022</v>
      </c>
      <c r="D11">
        <v>59.94</v>
      </c>
    </row>
    <row r="12" spans="1:4" x14ac:dyDescent="0.35">
      <c r="A12">
        <f>VLOOKUP(B12,'[1]Dane municipios'!$B$199:$C$321,2,0)</f>
        <v>15109</v>
      </c>
      <c r="B12" t="s">
        <v>49</v>
      </c>
      <c r="C12">
        <v>2022</v>
      </c>
      <c r="D12">
        <v>57.5</v>
      </c>
    </row>
    <row r="13" spans="1:4" x14ac:dyDescent="0.35">
      <c r="A13">
        <f>VLOOKUP(B13,'[1]Dane municipios'!$B$199:$C$321,2,0)</f>
        <v>15114</v>
      </c>
      <c r="B13" t="s">
        <v>141</v>
      </c>
      <c r="C13">
        <v>2022</v>
      </c>
      <c r="D13">
        <v>54.92</v>
      </c>
    </row>
    <row r="14" spans="1:4" x14ac:dyDescent="0.35">
      <c r="A14">
        <f>VLOOKUP(B14,'[1]Dane municipios'!$B$199:$C$321,2,0)</f>
        <v>15131</v>
      </c>
      <c r="B14" t="s">
        <v>50</v>
      </c>
      <c r="C14">
        <v>2022</v>
      </c>
      <c r="D14">
        <v>51.75</v>
      </c>
    </row>
    <row r="15" spans="1:4" x14ac:dyDescent="0.35">
      <c r="A15">
        <f>VLOOKUP(B15,'[1]Dane municipios'!$B$199:$C$321,2,0)</f>
        <v>15135</v>
      </c>
      <c r="B15" t="s">
        <v>51</v>
      </c>
      <c r="C15">
        <v>2022</v>
      </c>
      <c r="D15">
        <v>56.5</v>
      </c>
    </row>
    <row r="16" spans="1:4" x14ac:dyDescent="0.35">
      <c r="A16">
        <f>VLOOKUP(B16,'[1]Dane municipios'!$B$199:$C$321,2,0)</f>
        <v>15162</v>
      </c>
      <c r="B16" t="s">
        <v>52</v>
      </c>
      <c r="C16">
        <v>2022</v>
      </c>
      <c r="D16">
        <v>53.64</v>
      </c>
    </row>
    <row r="17" spans="1:4" x14ac:dyDescent="0.35">
      <c r="A17">
        <f>VLOOKUP(B17,'[1]Dane municipios'!$B$199:$C$321,2,0)</f>
        <v>15172</v>
      </c>
      <c r="B17" t="s">
        <v>53</v>
      </c>
      <c r="C17">
        <v>2022</v>
      </c>
      <c r="D17">
        <v>56.41</v>
      </c>
    </row>
    <row r="18" spans="1:4" x14ac:dyDescent="0.35">
      <c r="A18">
        <f>VLOOKUP(B18,'[1]Dane municipios'!$B$199:$C$321,2,0)</f>
        <v>15176</v>
      </c>
      <c r="B18" t="s">
        <v>142</v>
      </c>
      <c r="C18">
        <v>2022</v>
      </c>
      <c r="D18">
        <v>51.73</v>
      </c>
    </row>
    <row r="19" spans="1:4" x14ac:dyDescent="0.35">
      <c r="A19">
        <f>VLOOKUP(B19,'[1]Dane municipios'!$B$199:$C$321,2,0)</f>
        <v>15180</v>
      </c>
      <c r="B19" t="s">
        <v>54</v>
      </c>
      <c r="C19">
        <v>2022</v>
      </c>
      <c r="D19">
        <v>54.56</v>
      </c>
    </row>
    <row r="20" spans="1:4" x14ac:dyDescent="0.35">
      <c r="A20">
        <f>VLOOKUP(B20,'[1]Dane municipios'!$B$199:$C$321,2,0)</f>
        <v>15183</v>
      </c>
      <c r="B20" t="s">
        <v>55</v>
      </c>
      <c r="C20">
        <v>2022</v>
      </c>
      <c r="D20">
        <v>54.02</v>
      </c>
    </row>
    <row r="21" spans="1:4" x14ac:dyDescent="0.35">
      <c r="A21">
        <f>VLOOKUP(B21,'[1]Dane municipios'!$B$199:$C$321,2,0)</f>
        <v>15185</v>
      </c>
      <c r="B21" t="s">
        <v>56</v>
      </c>
      <c r="C21">
        <v>2022</v>
      </c>
      <c r="D21">
        <v>46.98</v>
      </c>
    </row>
    <row r="22" spans="1:4" x14ac:dyDescent="0.35">
      <c r="A22">
        <f>VLOOKUP(B22,'[1]Dane municipios'!$B$199:$C$321,2,0)</f>
        <v>15187</v>
      </c>
      <c r="B22" t="s">
        <v>143</v>
      </c>
      <c r="C22">
        <v>2022</v>
      </c>
      <c r="D22">
        <v>68.39</v>
      </c>
    </row>
    <row r="23" spans="1:4" x14ac:dyDescent="0.35">
      <c r="A23">
        <f>VLOOKUP(B23,'[1]Dane municipios'!$B$199:$C$321,2,0)</f>
        <v>15189</v>
      </c>
      <c r="B23" t="s">
        <v>144</v>
      </c>
      <c r="C23">
        <v>2022</v>
      </c>
      <c r="D23">
        <v>62.41</v>
      </c>
    </row>
    <row r="24" spans="1:4" x14ac:dyDescent="0.35">
      <c r="A24">
        <f>VLOOKUP(B24,'[1]Dane municipios'!$B$199:$C$321,2,0)</f>
        <v>15204</v>
      </c>
      <c r="B24" t="s">
        <v>145</v>
      </c>
      <c r="C24">
        <v>2022</v>
      </c>
      <c r="D24">
        <v>57.11</v>
      </c>
    </row>
    <row r="25" spans="1:4" x14ac:dyDescent="0.35">
      <c r="A25">
        <f>VLOOKUP(B25,'[1]Dane municipios'!$B$199:$C$321,2,0)</f>
        <v>15212</v>
      </c>
      <c r="B25" t="s">
        <v>57</v>
      </c>
      <c r="C25">
        <v>2022</v>
      </c>
      <c r="D25">
        <v>47.73</v>
      </c>
    </row>
    <row r="26" spans="1:4" x14ac:dyDescent="0.35">
      <c r="A26">
        <f>VLOOKUP(B26,'[1]Dane municipios'!$B$199:$C$321,2,0)</f>
        <v>15215</v>
      </c>
      <c r="B26" t="s">
        <v>58</v>
      </c>
      <c r="C26">
        <v>2022</v>
      </c>
      <c r="D26">
        <v>58.09</v>
      </c>
    </row>
    <row r="27" spans="1:4" x14ac:dyDescent="0.35">
      <c r="A27">
        <f>VLOOKUP(B27,'[1]Dane municipios'!$B$199:$C$321,2,0)</f>
        <v>15218</v>
      </c>
      <c r="B27" t="s">
        <v>146</v>
      </c>
      <c r="C27">
        <v>2022</v>
      </c>
      <c r="D27">
        <v>37.979999999999997</v>
      </c>
    </row>
    <row r="28" spans="1:4" x14ac:dyDescent="0.35">
      <c r="A28">
        <f>VLOOKUP(B28,'[1]Dane municipios'!$B$199:$C$321,2,0)</f>
        <v>15223</v>
      </c>
      <c r="B28" t="s">
        <v>148</v>
      </c>
      <c r="C28">
        <v>2022</v>
      </c>
      <c r="D28">
        <v>55.76</v>
      </c>
    </row>
    <row r="29" spans="1:4" x14ac:dyDescent="0.35">
      <c r="A29">
        <f>VLOOKUP(B29,'[1]Dane municipios'!$B$199:$C$321,2,0)</f>
        <v>15224</v>
      </c>
      <c r="B29" t="s">
        <v>59</v>
      </c>
      <c r="C29">
        <v>2022</v>
      </c>
      <c r="D29">
        <v>57.44</v>
      </c>
    </row>
    <row r="30" spans="1:4" x14ac:dyDescent="0.35">
      <c r="A30">
        <f>VLOOKUP(B30,'[1]Dane municipios'!$B$199:$C$321,2,0)</f>
        <v>15226</v>
      </c>
      <c r="B30" t="s">
        <v>147</v>
      </c>
      <c r="C30">
        <v>2022</v>
      </c>
      <c r="D30">
        <v>63.4</v>
      </c>
    </row>
    <row r="31" spans="1:4" x14ac:dyDescent="0.35">
      <c r="A31">
        <f>VLOOKUP(B31,'[1]Dane municipios'!$B$199:$C$321,2,0)</f>
        <v>15232</v>
      </c>
      <c r="B31" t="s">
        <v>149</v>
      </c>
      <c r="C31">
        <v>2022</v>
      </c>
      <c r="D31">
        <v>56.06</v>
      </c>
    </row>
    <row r="32" spans="1:4" x14ac:dyDescent="0.35">
      <c r="A32">
        <f>VLOOKUP(B32,'[1]Dane municipios'!$B$199:$C$321,2,0)</f>
        <v>15236</v>
      </c>
      <c r="B32" t="s">
        <v>60</v>
      </c>
      <c r="C32">
        <v>2022</v>
      </c>
      <c r="D32">
        <v>52.37</v>
      </c>
    </row>
    <row r="33" spans="1:4" x14ac:dyDescent="0.35">
      <c r="A33">
        <f>VLOOKUP(B33,'[1]Dane municipios'!$B$199:$C$321,2,0)</f>
        <v>15238</v>
      </c>
      <c r="B33" t="s">
        <v>61</v>
      </c>
      <c r="C33">
        <v>2022</v>
      </c>
      <c r="D33">
        <v>58.73</v>
      </c>
    </row>
    <row r="34" spans="1:4" x14ac:dyDescent="0.35">
      <c r="A34">
        <f>VLOOKUP(B34,'[1]Dane municipios'!$B$199:$C$321,2,0)</f>
        <v>15244</v>
      </c>
      <c r="B34" t="s">
        <v>62</v>
      </c>
      <c r="C34">
        <v>2022</v>
      </c>
      <c r="D34">
        <v>54.05</v>
      </c>
    </row>
    <row r="35" spans="1:4" x14ac:dyDescent="0.35">
      <c r="A35">
        <f>VLOOKUP(B35,'[1]Dane municipios'!$B$199:$C$321,2,0)</f>
        <v>15248</v>
      </c>
      <c r="B35" t="s">
        <v>63</v>
      </c>
      <c r="C35">
        <v>2022</v>
      </c>
      <c r="D35">
        <v>52.74</v>
      </c>
    </row>
    <row r="36" spans="1:4" x14ac:dyDescent="0.35">
      <c r="A36">
        <f>VLOOKUP(B36,'[1]Dane municipios'!$B$199:$C$321,2,0)</f>
        <v>15272</v>
      </c>
      <c r="B36" t="s">
        <v>64</v>
      </c>
      <c r="C36">
        <v>2022</v>
      </c>
      <c r="D36">
        <v>45.92</v>
      </c>
    </row>
    <row r="37" spans="1:4" x14ac:dyDescent="0.35">
      <c r="A37">
        <f>VLOOKUP(B37,'[1]Dane municipios'!$B$199:$C$321,2,0)</f>
        <v>15276</v>
      </c>
      <c r="B37" t="s">
        <v>65</v>
      </c>
      <c r="C37">
        <v>2022</v>
      </c>
      <c r="D37">
        <v>53.33</v>
      </c>
    </row>
    <row r="38" spans="1:4" x14ac:dyDescent="0.35">
      <c r="A38">
        <f>VLOOKUP(B38,'[1]Dane municipios'!$B$199:$C$321,2,0)</f>
        <v>15293</v>
      </c>
      <c r="B38" t="s">
        <v>150</v>
      </c>
      <c r="C38">
        <v>2022</v>
      </c>
      <c r="D38">
        <v>62.33</v>
      </c>
    </row>
    <row r="39" spans="1:4" x14ac:dyDescent="0.35">
      <c r="A39">
        <f>VLOOKUP(B39,'[1]Dane municipios'!$B$199:$C$321,2,0)</f>
        <v>15296</v>
      </c>
      <c r="B39" t="s">
        <v>151</v>
      </c>
      <c r="C39">
        <v>2022</v>
      </c>
      <c r="D39">
        <v>39.24</v>
      </c>
    </row>
    <row r="40" spans="1:4" x14ac:dyDescent="0.35">
      <c r="A40">
        <f>VLOOKUP(B40,'[1]Dane municipios'!$B$199:$C$321,2,0)</f>
        <v>15299</v>
      </c>
      <c r="B40" t="s">
        <v>66</v>
      </c>
      <c r="C40">
        <v>2022</v>
      </c>
      <c r="D40">
        <v>51.76</v>
      </c>
    </row>
    <row r="41" spans="1:4" x14ac:dyDescent="0.35">
      <c r="A41">
        <f>VLOOKUP(B41,'[1]Dane municipios'!$B$199:$C$321,2,0)</f>
        <v>15317</v>
      </c>
      <c r="B41" t="s">
        <v>67</v>
      </c>
      <c r="C41">
        <v>2022</v>
      </c>
      <c r="D41">
        <v>54.2</v>
      </c>
    </row>
    <row r="42" spans="1:4" x14ac:dyDescent="0.35">
      <c r="A42">
        <f>VLOOKUP(B42,'[1]Dane municipios'!$B$199:$C$321,2,0)</f>
        <v>15322</v>
      </c>
      <c r="B42" t="s">
        <v>68</v>
      </c>
      <c r="C42">
        <v>2022</v>
      </c>
      <c r="D42">
        <v>63.98</v>
      </c>
    </row>
    <row r="43" spans="1:4" x14ac:dyDescent="0.35">
      <c r="A43">
        <f>VLOOKUP(B43,'[1]Dane municipios'!$B$199:$C$321,2,0)</f>
        <v>15325</v>
      </c>
      <c r="B43" t="s">
        <v>152</v>
      </c>
      <c r="C43">
        <v>2022</v>
      </c>
      <c r="D43">
        <v>38.950000000000003</v>
      </c>
    </row>
    <row r="44" spans="1:4" x14ac:dyDescent="0.35">
      <c r="A44">
        <f>VLOOKUP(B44,'[1]Dane municipios'!$B$199:$C$321,2,0)</f>
        <v>15332</v>
      </c>
      <c r="B44" t="s">
        <v>153</v>
      </c>
      <c r="C44">
        <v>2022</v>
      </c>
      <c r="D44">
        <v>54.94</v>
      </c>
    </row>
    <row r="45" spans="1:4" x14ac:dyDescent="0.35">
      <c r="A45">
        <f>VLOOKUP(B45,'[1]Dane municipios'!$B$199:$C$321,2,0)</f>
        <v>15362</v>
      </c>
      <c r="B45" t="s">
        <v>69</v>
      </c>
      <c r="C45">
        <v>2022</v>
      </c>
      <c r="D45">
        <v>58.75</v>
      </c>
    </row>
    <row r="46" spans="1:4" x14ac:dyDescent="0.35">
      <c r="A46">
        <f>VLOOKUP(B46,'[1]Dane municipios'!$B$199:$C$321,2,0)</f>
        <v>15367</v>
      </c>
      <c r="B46" t="s">
        <v>70</v>
      </c>
      <c r="C46">
        <v>2022</v>
      </c>
      <c r="D46">
        <v>68.739999999999995</v>
      </c>
    </row>
    <row r="47" spans="1:4" x14ac:dyDescent="0.35">
      <c r="A47">
        <f>VLOOKUP(B47,'[1]Dane municipios'!$B$199:$C$321,2,0)</f>
        <v>15368</v>
      </c>
      <c r="B47" t="s">
        <v>154</v>
      </c>
      <c r="C47">
        <v>2022</v>
      </c>
      <c r="D47">
        <v>49.11</v>
      </c>
    </row>
    <row r="48" spans="1:4" x14ac:dyDescent="0.35">
      <c r="A48">
        <f>VLOOKUP(B48,'[1]Dane municipios'!$B$199:$C$321,2,0)</f>
        <v>15377</v>
      </c>
      <c r="B48" t="s">
        <v>71</v>
      </c>
      <c r="C48">
        <v>2022</v>
      </c>
      <c r="D48">
        <v>43.6</v>
      </c>
    </row>
    <row r="49" spans="1:4" x14ac:dyDescent="0.35">
      <c r="A49">
        <f>VLOOKUP(B49,'[1]Dane municipios'!$B$199:$C$321,2,0)</f>
        <v>15380</v>
      </c>
      <c r="B49" t="s">
        <v>72</v>
      </c>
      <c r="C49">
        <v>2022</v>
      </c>
      <c r="D49">
        <v>54</v>
      </c>
    </row>
    <row r="50" spans="1:4" x14ac:dyDescent="0.35">
      <c r="A50">
        <f>VLOOKUP(B50,'[1]Dane municipios'!$B$199:$C$321,2,0)</f>
        <v>15401</v>
      </c>
      <c r="B50" t="s">
        <v>73</v>
      </c>
      <c r="C50">
        <v>2022</v>
      </c>
      <c r="D50">
        <v>47.08</v>
      </c>
    </row>
    <row r="51" spans="1:4" x14ac:dyDescent="0.35">
      <c r="A51">
        <f>VLOOKUP(B51,'[1]Dane municipios'!$B$199:$C$321,2,0)</f>
        <v>15403</v>
      </c>
      <c r="B51" t="s">
        <v>74</v>
      </c>
      <c r="C51">
        <v>2022</v>
      </c>
      <c r="D51">
        <v>57.78</v>
      </c>
    </row>
    <row r="52" spans="1:4" x14ac:dyDescent="0.35">
      <c r="A52">
        <f>VLOOKUP(B52,'[1]Dane municipios'!$B$199:$C$321,2,0)</f>
        <v>15407</v>
      </c>
      <c r="B52" t="s">
        <v>75</v>
      </c>
      <c r="C52">
        <v>2022</v>
      </c>
      <c r="D52">
        <v>68.510000000000005</v>
      </c>
    </row>
    <row r="53" spans="1:4" x14ac:dyDescent="0.35">
      <c r="A53">
        <f>VLOOKUP(B53,'[1]Dane municipios'!$B$199:$C$321,2,0)</f>
        <v>15425</v>
      </c>
      <c r="B53" t="s">
        <v>76</v>
      </c>
      <c r="C53">
        <v>2022</v>
      </c>
      <c r="D53">
        <v>59.76</v>
      </c>
    </row>
    <row r="54" spans="1:4" x14ac:dyDescent="0.35">
      <c r="A54">
        <f>VLOOKUP(B54,'[1]Dane municipios'!$B$199:$C$321,2,0)</f>
        <v>15442</v>
      </c>
      <c r="B54" t="s">
        <v>155</v>
      </c>
      <c r="C54">
        <v>2022</v>
      </c>
      <c r="D54">
        <v>40.75</v>
      </c>
    </row>
    <row r="55" spans="1:4" x14ac:dyDescent="0.35">
      <c r="A55">
        <f>VLOOKUP(B55,'[1]Dane municipios'!$B$199:$C$321,2,0)</f>
        <v>15455</v>
      </c>
      <c r="B55" t="s">
        <v>77</v>
      </c>
      <c r="C55">
        <v>2022</v>
      </c>
      <c r="D55">
        <v>55.88</v>
      </c>
    </row>
    <row r="56" spans="1:4" x14ac:dyDescent="0.35">
      <c r="A56">
        <f>VLOOKUP(B56,'[1]Dane municipios'!$B$199:$C$321,2,0)</f>
        <v>15464</v>
      </c>
      <c r="B56" t="s">
        <v>78</v>
      </c>
      <c r="C56">
        <v>2022</v>
      </c>
      <c r="D56">
        <v>49.67</v>
      </c>
    </row>
    <row r="57" spans="1:4" x14ac:dyDescent="0.35">
      <c r="A57">
        <f>VLOOKUP(B57,'[1]Dane municipios'!$B$199:$C$321,2,0)</f>
        <v>15466</v>
      </c>
      <c r="B57" t="s">
        <v>156</v>
      </c>
      <c r="C57">
        <v>2022</v>
      </c>
      <c r="D57">
        <v>53.84</v>
      </c>
    </row>
    <row r="58" spans="1:4" x14ac:dyDescent="0.35">
      <c r="A58">
        <f>VLOOKUP(B58,'[1]Dane municipios'!$B$199:$C$321,2,0)</f>
        <v>15469</v>
      </c>
      <c r="B58" t="s">
        <v>157</v>
      </c>
      <c r="C58">
        <v>2022</v>
      </c>
      <c r="D58">
        <v>52.18</v>
      </c>
    </row>
    <row r="59" spans="1:4" x14ac:dyDescent="0.35">
      <c r="A59">
        <f>VLOOKUP(B59,'[1]Dane municipios'!$B$199:$C$321,2,0)</f>
        <v>15476</v>
      </c>
      <c r="B59" t="s">
        <v>79</v>
      </c>
      <c r="C59">
        <v>2022</v>
      </c>
      <c r="D59">
        <v>57.93</v>
      </c>
    </row>
    <row r="60" spans="1:4" x14ac:dyDescent="0.35">
      <c r="A60">
        <f>VLOOKUP(B60,'[1]Dane municipios'!$B$199:$C$321,2,0)</f>
        <v>15480</v>
      </c>
      <c r="B60" t="s">
        <v>80</v>
      </c>
      <c r="C60">
        <v>2022</v>
      </c>
      <c r="D60">
        <v>51.28</v>
      </c>
    </row>
    <row r="61" spans="1:4" x14ac:dyDescent="0.35">
      <c r="A61">
        <f>VLOOKUP(B61,'[1]Dane municipios'!$B$199:$C$321,2,0)</f>
        <v>15491</v>
      </c>
      <c r="B61" t="s">
        <v>81</v>
      </c>
      <c r="C61">
        <v>2022</v>
      </c>
      <c r="D61">
        <v>64.540000000000006</v>
      </c>
    </row>
    <row r="62" spans="1:4" x14ac:dyDescent="0.35">
      <c r="A62">
        <f>VLOOKUP(B62,'[1]Dane municipios'!$B$199:$C$321,2,0)</f>
        <v>15494</v>
      </c>
      <c r="B62" t="s">
        <v>158</v>
      </c>
      <c r="C62">
        <v>2022</v>
      </c>
      <c r="D62">
        <v>57.47</v>
      </c>
    </row>
    <row r="63" spans="1:4" x14ac:dyDescent="0.35">
      <c r="A63">
        <f>VLOOKUP(B63,'[1]Dane municipios'!$B$199:$C$321,2,0)</f>
        <v>15500</v>
      </c>
      <c r="B63" t="s">
        <v>159</v>
      </c>
      <c r="C63">
        <v>2022</v>
      </c>
      <c r="D63">
        <v>65.97</v>
      </c>
    </row>
    <row r="64" spans="1:4" x14ac:dyDescent="0.35">
      <c r="A64">
        <f>VLOOKUP(B64,'[1]Dane municipios'!$B$199:$C$321,2,0)</f>
        <v>15507</v>
      </c>
      <c r="B64" t="s">
        <v>82</v>
      </c>
      <c r="C64">
        <v>2022</v>
      </c>
      <c r="D64">
        <v>44.45</v>
      </c>
    </row>
    <row r="65" spans="1:4" x14ac:dyDescent="0.35">
      <c r="A65">
        <f>VLOOKUP(B65,'[1]Dane municipios'!$B$199:$C$321,2,0)</f>
        <v>15511</v>
      </c>
      <c r="B65" t="s">
        <v>83</v>
      </c>
      <c r="C65">
        <v>2022</v>
      </c>
      <c r="D65">
        <v>49.57</v>
      </c>
    </row>
    <row r="66" spans="1:4" x14ac:dyDescent="0.35">
      <c r="A66">
        <f>VLOOKUP(B66,'[1]Dane municipios'!$B$199:$C$321,2,0)</f>
        <v>15514</v>
      </c>
      <c r="B66" t="s">
        <v>160</v>
      </c>
      <c r="C66">
        <v>2022</v>
      </c>
      <c r="D66">
        <v>53.69</v>
      </c>
    </row>
    <row r="67" spans="1:4" x14ac:dyDescent="0.35">
      <c r="A67">
        <f>VLOOKUP(B67,'[1]Dane municipios'!$B$199:$C$321,2,0)</f>
        <v>15516</v>
      </c>
      <c r="B67" t="s">
        <v>84</v>
      </c>
      <c r="C67">
        <v>2022</v>
      </c>
      <c r="D67">
        <v>65.040000000000006</v>
      </c>
    </row>
    <row r="68" spans="1:4" x14ac:dyDescent="0.35">
      <c r="A68">
        <f>VLOOKUP(B68,'[1]Dane municipios'!$B$199:$C$321,2,0)</f>
        <v>15518</v>
      </c>
      <c r="B68" t="s">
        <v>85</v>
      </c>
      <c r="C68">
        <v>2022</v>
      </c>
      <c r="D68">
        <v>41.06</v>
      </c>
    </row>
    <row r="69" spans="1:4" x14ac:dyDescent="0.35">
      <c r="A69">
        <f>VLOOKUP(B69,'[1]Dane municipios'!$B$199:$C$321,2,0)</f>
        <v>15522</v>
      </c>
      <c r="B69" t="s">
        <v>86</v>
      </c>
      <c r="C69">
        <v>2022</v>
      </c>
      <c r="D69">
        <v>51.24</v>
      </c>
    </row>
    <row r="70" spans="1:4" x14ac:dyDescent="0.35">
      <c r="A70">
        <f>VLOOKUP(B70,'[1]Dane municipios'!$B$199:$C$321,2,0)</f>
        <v>15531</v>
      </c>
      <c r="B70" t="s">
        <v>87</v>
      </c>
      <c r="C70">
        <v>2022</v>
      </c>
      <c r="D70">
        <v>55.44</v>
      </c>
    </row>
    <row r="71" spans="1:4" x14ac:dyDescent="0.35">
      <c r="A71">
        <f>VLOOKUP(B71,'[1]Dane municipios'!$B$199:$C$321,2,0)</f>
        <v>15533</v>
      </c>
      <c r="B71" t="s">
        <v>88</v>
      </c>
      <c r="C71">
        <v>2022</v>
      </c>
      <c r="D71">
        <v>53.32</v>
      </c>
    </row>
    <row r="72" spans="1:4" x14ac:dyDescent="0.35">
      <c r="A72">
        <f>VLOOKUP(B72,'[1]Dane municipios'!$B$199:$C$321,2,0)</f>
        <v>15537</v>
      </c>
      <c r="B72" t="s">
        <v>161</v>
      </c>
      <c r="C72">
        <v>2022</v>
      </c>
      <c r="D72">
        <v>51.69</v>
      </c>
    </row>
    <row r="73" spans="1:4" x14ac:dyDescent="0.35">
      <c r="A73">
        <f>VLOOKUP(B73,'[1]Dane municipios'!$B$199:$C$321,2,0)</f>
        <v>15542</v>
      </c>
      <c r="B73" t="s">
        <v>89</v>
      </c>
      <c r="C73">
        <v>2022</v>
      </c>
      <c r="D73">
        <v>51.96</v>
      </c>
    </row>
    <row r="74" spans="1:4" x14ac:dyDescent="0.35">
      <c r="A74">
        <f>VLOOKUP(B74,'[1]Dane municipios'!$B$199:$C$321,2,0)</f>
        <v>15550</v>
      </c>
      <c r="B74" t="s">
        <v>90</v>
      </c>
      <c r="C74">
        <v>2022</v>
      </c>
      <c r="D74">
        <v>47.85</v>
      </c>
    </row>
    <row r="75" spans="1:4" x14ac:dyDescent="0.35">
      <c r="A75">
        <f>VLOOKUP(B75,'[1]Dane municipios'!$B$199:$C$321,2,0)</f>
        <v>15572</v>
      </c>
      <c r="B75" t="s">
        <v>138</v>
      </c>
      <c r="C75">
        <v>2022</v>
      </c>
      <c r="D75">
        <v>61.21</v>
      </c>
    </row>
    <row r="76" spans="1:4" x14ac:dyDescent="0.35">
      <c r="A76">
        <f>VLOOKUP(B76,'[1]Dane municipios'!$B$199:$C$321,2,0)</f>
        <v>15580</v>
      </c>
      <c r="B76" t="s">
        <v>162</v>
      </c>
      <c r="C76">
        <v>2022</v>
      </c>
      <c r="D76">
        <v>38.56</v>
      </c>
    </row>
    <row r="77" spans="1:4" x14ac:dyDescent="0.35">
      <c r="A77">
        <f>VLOOKUP(B77,'[1]Dane municipios'!$B$199:$C$321,2,0)</f>
        <v>15599</v>
      </c>
      <c r="B77" t="s">
        <v>163</v>
      </c>
      <c r="C77">
        <v>2022</v>
      </c>
      <c r="D77">
        <v>62.06</v>
      </c>
    </row>
    <row r="78" spans="1:4" x14ac:dyDescent="0.35">
      <c r="A78">
        <f>VLOOKUP(B78,'[1]Dane municipios'!$B$199:$C$321,2,0)</f>
        <v>15600</v>
      </c>
      <c r="B78" t="s">
        <v>164</v>
      </c>
      <c r="C78">
        <v>2022</v>
      </c>
      <c r="D78">
        <v>56.86</v>
      </c>
    </row>
    <row r="79" spans="1:4" x14ac:dyDescent="0.35">
      <c r="A79">
        <f>VLOOKUP(B79,'[1]Dane municipios'!$B$199:$C$321,2,0)</f>
        <v>15621</v>
      </c>
      <c r="B79" t="s">
        <v>165</v>
      </c>
      <c r="C79">
        <v>2022</v>
      </c>
      <c r="D79">
        <v>53.97</v>
      </c>
    </row>
    <row r="80" spans="1:4" x14ac:dyDescent="0.35">
      <c r="A80">
        <f>VLOOKUP(B80,'[1]Dane municipios'!$B$199:$C$321,2,0)</f>
        <v>15632</v>
      </c>
      <c r="B80" t="s">
        <v>166</v>
      </c>
      <c r="C80">
        <v>2022</v>
      </c>
      <c r="D80">
        <v>61.41</v>
      </c>
    </row>
    <row r="81" spans="1:4" x14ac:dyDescent="0.35">
      <c r="A81">
        <f>VLOOKUP(B81,'[1]Dane municipios'!$B$199:$C$321,2,0)</f>
        <v>15638</v>
      </c>
      <c r="B81" t="s">
        <v>167</v>
      </c>
      <c r="C81">
        <v>2022</v>
      </c>
      <c r="D81">
        <v>60.26</v>
      </c>
    </row>
    <row r="82" spans="1:4" x14ac:dyDescent="0.35">
      <c r="A82">
        <f>VLOOKUP(B82,'[1]Dane municipios'!$B$199:$C$321,2,0)</f>
        <v>15646</v>
      </c>
      <c r="B82" t="s">
        <v>168</v>
      </c>
      <c r="C82">
        <v>2022</v>
      </c>
      <c r="D82">
        <v>58.56</v>
      </c>
    </row>
    <row r="83" spans="1:4" x14ac:dyDescent="0.35">
      <c r="A83">
        <f>VLOOKUP(B83,'[1]Dane municipios'!$B$199:$C$321,2,0)</f>
        <v>15660</v>
      </c>
      <c r="B83" t="s">
        <v>91</v>
      </c>
      <c r="C83">
        <v>2022</v>
      </c>
      <c r="D83">
        <v>60.46</v>
      </c>
    </row>
    <row r="84" spans="1:4" x14ac:dyDescent="0.35">
      <c r="A84">
        <f>VLOOKUP(B84,'[1]Dane municipios'!$B$199:$C$321,2,0)</f>
        <v>15664</v>
      </c>
      <c r="B84" t="s">
        <v>169</v>
      </c>
      <c r="C84">
        <v>2022</v>
      </c>
      <c r="D84">
        <v>50.64</v>
      </c>
    </row>
    <row r="85" spans="1:4" x14ac:dyDescent="0.35">
      <c r="A85">
        <f>VLOOKUP(B85,'[1]Dane municipios'!$B$199:$C$321,2,0)</f>
        <v>15667</v>
      </c>
      <c r="B85" t="s">
        <v>92</v>
      </c>
      <c r="C85">
        <v>2022</v>
      </c>
      <c r="D85">
        <v>58.14</v>
      </c>
    </row>
    <row r="86" spans="1:4" x14ac:dyDescent="0.35">
      <c r="A86">
        <f>VLOOKUP(B86,'[1]Dane municipios'!$B$199:$C$321,2,0)</f>
        <v>15673</v>
      </c>
      <c r="B86" t="s">
        <v>93</v>
      </c>
      <c r="C86">
        <v>2022</v>
      </c>
      <c r="D86">
        <v>44.96</v>
      </c>
    </row>
    <row r="87" spans="1:4" x14ac:dyDescent="0.35">
      <c r="A87">
        <f>VLOOKUP(B87,'[1]Dane municipios'!$B$199:$C$321,2,0)</f>
        <v>15676</v>
      </c>
      <c r="B87" t="s">
        <v>94</v>
      </c>
      <c r="C87">
        <v>2022</v>
      </c>
      <c r="D87">
        <v>70.73</v>
      </c>
    </row>
    <row r="88" spans="1:4" x14ac:dyDescent="0.35">
      <c r="A88">
        <f>VLOOKUP(B88,'[1]Dane municipios'!$B$199:$C$321,2,0)</f>
        <v>15681</v>
      </c>
      <c r="B88" t="s">
        <v>95</v>
      </c>
      <c r="C88">
        <v>2022</v>
      </c>
      <c r="D88">
        <v>41.77</v>
      </c>
    </row>
    <row r="89" spans="1:4" x14ac:dyDescent="0.35">
      <c r="A89">
        <f>VLOOKUP(B89,'[1]Dane municipios'!$B$199:$C$321,2,0)</f>
        <v>15686</v>
      </c>
      <c r="B89" t="s">
        <v>96</v>
      </c>
      <c r="C89">
        <v>2022</v>
      </c>
      <c r="D89">
        <v>55.01</v>
      </c>
    </row>
    <row r="90" spans="1:4" x14ac:dyDescent="0.35">
      <c r="A90">
        <f>VLOOKUP(B90,'[1]Dane municipios'!$B$199:$C$321,2,0)</f>
        <v>15690</v>
      </c>
      <c r="B90" t="s">
        <v>170</v>
      </c>
      <c r="C90">
        <v>2022</v>
      </c>
      <c r="D90">
        <v>54.43</v>
      </c>
    </row>
    <row r="91" spans="1:4" x14ac:dyDescent="0.35">
      <c r="A91">
        <f>VLOOKUP(B91,'[1]Dane municipios'!$B$199:$C$321,2,0)</f>
        <v>15693</v>
      </c>
      <c r="B91" t="s">
        <v>97</v>
      </c>
      <c r="C91">
        <v>2022</v>
      </c>
      <c r="D91">
        <v>49.16</v>
      </c>
    </row>
    <row r="92" spans="1:4" x14ac:dyDescent="0.35">
      <c r="A92">
        <f>VLOOKUP(B92,'[1]Dane municipios'!$B$199:$C$321,2,0)</f>
        <v>15696</v>
      </c>
      <c r="B92" t="s">
        <v>171</v>
      </c>
      <c r="C92">
        <v>2022</v>
      </c>
      <c r="D92">
        <v>62.38</v>
      </c>
    </row>
    <row r="93" spans="1:4" x14ac:dyDescent="0.35">
      <c r="A93">
        <f>VLOOKUP(B93,'[1]Dane municipios'!$B$199:$C$321,2,0)</f>
        <v>15720</v>
      </c>
      <c r="B93" t="s">
        <v>98</v>
      </c>
      <c r="C93">
        <v>2022</v>
      </c>
      <c r="D93">
        <v>53.64</v>
      </c>
    </row>
    <row r="94" spans="1:4" x14ac:dyDescent="0.35">
      <c r="A94">
        <f>VLOOKUP(B94,'[1]Dane municipios'!$B$199:$C$321,2,0)</f>
        <v>15723</v>
      </c>
      <c r="B94" t="s">
        <v>99</v>
      </c>
      <c r="C94">
        <v>2022</v>
      </c>
      <c r="D94">
        <v>43.92</v>
      </c>
    </row>
    <row r="95" spans="1:4" x14ac:dyDescent="0.35">
      <c r="A95">
        <f>VLOOKUP(B95,'[1]Dane municipios'!$B$199:$C$321,2,0)</f>
        <v>15740</v>
      </c>
      <c r="B95" t="s">
        <v>100</v>
      </c>
      <c r="C95">
        <v>2022</v>
      </c>
      <c r="D95">
        <v>62.48</v>
      </c>
    </row>
    <row r="96" spans="1:4" x14ac:dyDescent="0.35">
      <c r="A96">
        <f>VLOOKUP(B96,'[1]Dane municipios'!$B$199:$C$321,2,0)</f>
        <v>15753</v>
      </c>
      <c r="B96" t="s">
        <v>172</v>
      </c>
      <c r="C96">
        <v>2022</v>
      </c>
      <c r="D96">
        <v>55.75</v>
      </c>
    </row>
    <row r="97" spans="1:4" x14ac:dyDescent="0.35">
      <c r="A97">
        <f>VLOOKUP(B97,'[1]Dane municipios'!$B$199:$C$321,2,0)</f>
        <v>15755</v>
      </c>
      <c r="B97" t="s">
        <v>173</v>
      </c>
      <c r="C97">
        <v>2022</v>
      </c>
      <c r="D97">
        <v>47.31</v>
      </c>
    </row>
    <row r="98" spans="1:4" x14ac:dyDescent="0.35">
      <c r="A98">
        <f>VLOOKUP(B98,'[1]Dane municipios'!$B$199:$C$321,2,0)</f>
        <v>15757</v>
      </c>
      <c r="B98" t="s">
        <v>101</v>
      </c>
      <c r="C98">
        <v>2022</v>
      </c>
      <c r="D98">
        <v>62.82</v>
      </c>
    </row>
    <row r="99" spans="1:4" x14ac:dyDescent="0.35">
      <c r="A99">
        <f>VLOOKUP(B99,'[1]Dane municipios'!$B$199:$C$321,2,0)</f>
        <v>15759</v>
      </c>
      <c r="B99" t="s">
        <v>102</v>
      </c>
      <c r="C99">
        <v>2022</v>
      </c>
      <c r="D99">
        <v>64.06</v>
      </c>
    </row>
    <row r="100" spans="1:4" x14ac:dyDescent="0.35">
      <c r="A100">
        <f>VLOOKUP(B100,'[1]Dane municipios'!$B$199:$C$321,2,0)</f>
        <v>15761</v>
      </c>
      <c r="B100" t="s">
        <v>103</v>
      </c>
      <c r="C100">
        <v>2022</v>
      </c>
      <c r="D100">
        <v>47.68</v>
      </c>
    </row>
    <row r="101" spans="1:4" x14ac:dyDescent="0.35">
      <c r="A101">
        <f>VLOOKUP(B101,'[1]Dane municipios'!$B$199:$C$321,2,0)</f>
        <v>15762</v>
      </c>
      <c r="B101" t="s">
        <v>104</v>
      </c>
      <c r="C101">
        <v>2022</v>
      </c>
      <c r="D101">
        <v>56.69</v>
      </c>
    </row>
    <row r="102" spans="1:4" x14ac:dyDescent="0.35">
      <c r="A102">
        <f>VLOOKUP(B102,'[1]Dane municipios'!$B$199:$C$321,2,0)</f>
        <v>15763</v>
      </c>
      <c r="B102" t="s">
        <v>174</v>
      </c>
      <c r="C102">
        <v>2022</v>
      </c>
      <c r="D102">
        <v>50.1</v>
      </c>
    </row>
    <row r="103" spans="1:4" x14ac:dyDescent="0.35">
      <c r="A103">
        <f>VLOOKUP(B103,'[1]Dane municipios'!$B$199:$C$321,2,0)</f>
        <v>15764</v>
      </c>
      <c r="B103" t="s">
        <v>175</v>
      </c>
      <c r="C103">
        <v>2022</v>
      </c>
      <c r="D103">
        <v>57.61</v>
      </c>
    </row>
    <row r="104" spans="1:4" x14ac:dyDescent="0.35">
      <c r="A104">
        <f>VLOOKUP(B104,'[1]Dane municipios'!$B$199:$C$321,2,0)</f>
        <v>15774</v>
      </c>
      <c r="B104" t="s">
        <v>176</v>
      </c>
      <c r="C104">
        <v>2022</v>
      </c>
      <c r="D104">
        <v>45.92</v>
      </c>
    </row>
    <row r="105" spans="1:4" x14ac:dyDescent="0.35">
      <c r="A105">
        <f>VLOOKUP(B105,'[1]Dane municipios'!$B$199:$C$321,2,0)</f>
        <v>15776</v>
      </c>
      <c r="B105" t="s">
        <v>177</v>
      </c>
      <c r="C105">
        <v>2022</v>
      </c>
      <c r="D105">
        <v>63.75</v>
      </c>
    </row>
    <row r="106" spans="1:4" x14ac:dyDescent="0.35">
      <c r="A106">
        <f>VLOOKUP(B106,'[1]Dane municipios'!$B$199:$C$321,2,0)</f>
        <v>15778</v>
      </c>
      <c r="B106" t="s">
        <v>105</v>
      </c>
      <c r="C106">
        <v>2022</v>
      </c>
      <c r="D106">
        <v>54.55</v>
      </c>
    </row>
    <row r="107" spans="1:4" x14ac:dyDescent="0.35">
      <c r="A107">
        <f>VLOOKUP(B107,'[1]Dane municipios'!$B$199:$C$321,2,0)</f>
        <v>15790</v>
      </c>
      <c r="B107" t="s">
        <v>106</v>
      </c>
      <c r="C107">
        <v>2022</v>
      </c>
      <c r="D107">
        <v>55.92</v>
      </c>
    </row>
    <row r="108" spans="1:4" x14ac:dyDescent="0.35">
      <c r="A108">
        <f>VLOOKUP(B108,'[1]Dane municipios'!$B$199:$C$321,2,0)</f>
        <v>15798</v>
      </c>
      <c r="B108" t="s">
        <v>107</v>
      </c>
      <c r="C108">
        <v>2022</v>
      </c>
      <c r="D108">
        <v>48.6</v>
      </c>
    </row>
    <row r="109" spans="1:4" x14ac:dyDescent="0.35">
      <c r="A109">
        <f>VLOOKUP(B109,'[1]Dane municipios'!$B$199:$C$321,2,0)</f>
        <v>15804</v>
      </c>
      <c r="B109" t="s">
        <v>178</v>
      </c>
      <c r="C109">
        <v>2022</v>
      </c>
      <c r="D109">
        <v>61.8</v>
      </c>
    </row>
    <row r="110" spans="1:4" x14ac:dyDescent="0.35">
      <c r="A110">
        <f>VLOOKUP(B110,'[1]Dane municipios'!$B$199:$C$321,2,0)</f>
        <v>15806</v>
      </c>
      <c r="B110" t="s">
        <v>108</v>
      </c>
      <c r="C110">
        <v>2022</v>
      </c>
      <c r="D110">
        <v>64.89</v>
      </c>
    </row>
    <row r="111" spans="1:4" x14ac:dyDescent="0.35">
      <c r="A111">
        <f>VLOOKUP(B111,'[1]Dane municipios'!$B$199:$C$321,2,0)</f>
        <v>15808</v>
      </c>
      <c r="B111" t="s">
        <v>179</v>
      </c>
      <c r="C111">
        <v>2022</v>
      </c>
      <c r="D111">
        <v>52.6</v>
      </c>
    </row>
    <row r="112" spans="1:4" x14ac:dyDescent="0.35">
      <c r="A112">
        <f>VLOOKUP(B112,'[1]Dane municipios'!$B$199:$C$321,2,0)</f>
        <v>15810</v>
      </c>
      <c r="B112" t="s">
        <v>109</v>
      </c>
      <c r="C112">
        <v>2022</v>
      </c>
      <c r="D112">
        <v>47.22</v>
      </c>
    </row>
    <row r="113" spans="1:4" x14ac:dyDescent="0.35">
      <c r="A113">
        <f>VLOOKUP(B113,'[1]Dane municipios'!$B$199:$C$321,2,0)</f>
        <v>15814</v>
      </c>
      <c r="B113" t="s">
        <v>110</v>
      </c>
      <c r="C113">
        <v>2022</v>
      </c>
      <c r="D113">
        <v>53.79</v>
      </c>
    </row>
    <row r="114" spans="1:4" x14ac:dyDescent="0.35">
      <c r="A114">
        <f>VLOOKUP(B114,'[1]Dane municipios'!$B$199:$C$321,2,0)</f>
        <v>15816</v>
      </c>
      <c r="B114" t="s">
        <v>180</v>
      </c>
      <c r="C114">
        <v>2022</v>
      </c>
      <c r="D114">
        <v>49.57</v>
      </c>
    </row>
    <row r="115" spans="1:4" x14ac:dyDescent="0.35">
      <c r="A115">
        <f>VLOOKUP(B115,'[1]Dane municipios'!$B$199:$C$321,2,0)</f>
        <v>15820</v>
      </c>
      <c r="B115" t="s">
        <v>181</v>
      </c>
      <c r="C115">
        <v>2022</v>
      </c>
      <c r="D115">
        <v>62.89</v>
      </c>
    </row>
    <row r="116" spans="1:4" x14ac:dyDescent="0.35">
      <c r="A116">
        <f>VLOOKUP(B116,'[1]Dane municipios'!$B$199:$C$321,2,0)</f>
        <v>15822</v>
      </c>
      <c r="B116" t="s">
        <v>111</v>
      </c>
      <c r="C116">
        <v>2022</v>
      </c>
      <c r="D116">
        <v>54.22</v>
      </c>
    </row>
    <row r="117" spans="1:4" x14ac:dyDescent="0.35">
      <c r="A117">
        <f>VLOOKUP(B117,'[1]Dane municipios'!$B$199:$C$321,2,0)</f>
        <v>15832</v>
      </c>
      <c r="B117" t="s">
        <v>182</v>
      </c>
      <c r="C117">
        <v>2022</v>
      </c>
      <c r="D117">
        <v>31.82</v>
      </c>
    </row>
    <row r="118" spans="1:4" x14ac:dyDescent="0.35">
      <c r="A118">
        <f>VLOOKUP(B118,'[1]Dane municipios'!$B$199:$C$321,2,0)</f>
        <v>15835</v>
      </c>
      <c r="B118" t="s">
        <v>183</v>
      </c>
      <c r="C118">
        <v>2022</v>
      </c>
      <c r="D118">
        <v>47.84</v>
      </c>
    </row>
    <row r="119" spans="1:4" x14ac:dyDescent="0.35">
      <c r="A119">
        <f>VLOOKUP(B119,'[1]Dane municipios'!$B$199:$C$321,2,0)</f>
        <v>15837</v>
      </c>
      <c r="B119" t="s">
        <v>112</v>
      </c>
      <c r="C119">
        <v>2022</v>
      </c>
      <c r="D119">
        <v>63.79</v>
      </c>
    </row>
    <row r="120" spans="1:4" x14ac:dyDescent="0.35">
      <c r="A120">
        <f>VLOOKUP(B120,'[1]Dane municipios'!$B$199:$C$321,2,0)</f>
        <v>15839</v>
      </c>
      <c r="B120" t="s">
        <v>184</v>
      </c>
      <c r="C120">
        <v>2022</v>
      </c>
      <c r="D120">
        <v>55.04</v>
      </c>
    </row>
    <row r="121" spans="1:4" x14ac:dyDescent="0.35">
      <c r="A121">
        <f>VLOOKUP(B121,'[1]Dane municipios'!$B$199:$C$321,2,0)</f>
        <v>15842</v>
      </c>
      <c r="B121" t="s">
        <v>185</v>
      </c>
      <c r="C121">
        <v>2022</v>
      </c>
      <c r="D121">
        <v>53.68</v>
      </c>
    </row>
    <row r="122" spans="1:4" x14ac:dyDescent="0.35">
      <c r="A122">
        <f>VLOOKUP(B122,'[1]Dane municipios'!$B$199:$C$321,2,0)</f>
        <v>15861</v>
      </c>
      <c r="B122" t="s">
        <v>113</v>
      </c>
      <c r="C122">
        <v>2022</v>
      </c>
      <c r="D122">
        <v>53.7</v>
      </c>
    </row>
    <row r="123" spans="1:4" x14ac:dyDescent="0.35">
      <c r="A123">
        <f>VLOOKUP(B123,'[1]Dane municipios'!$B$199:$C$321,2,0)</f>
        <v>15879</v>
      </c>
      <c r="B123" t="s">
        <v>186</v>
      </c>
      <c r="C123">
        <v>2022</v>
      </c>
      <c r="D123">
        <v>51.64</v>
      </c>
    </row>
    <row r="124" spans="1:4" x14ac:dyDescent="0.35">
      <c r="A124">
        <f>VLOOKUP(B124,'[1]Dane municipios'!$B$199:$C$321,2,0)</f>
        <v>15897</v>
      </c>
      <c r="B124" t="s">
        <v>114</v>
      </c>
      <c r="C124">
        <v>2022</v>
      </c>
      <c r="D124">
        <v>63.01</v>
      </c>
    </row>
    <row r="125" spans="1:4" x14ac:dyDescent="0.35">
      <c r="A125">
        <f>VLOOKUP(B125,'[1]Dane municipios'!$B$199:$C$321,2,0)</f>
        <v>15001</v>
      </c>
      <c r="B125" t="s">
        <v>42</v>
      </c>
      <c r="C125">
        <v>2023</v>
      </c>
      <c r="D125">
        <v>73.540000000000006</v>
      </c>
    </row>
    <row r="126" spans="1:4" x14ac:dyDescent="0.35">
      <c r="A126">
        <f>VLOOKUP(B126,'[1]Dane municipios'!$B$199:$C$321,2,0)</f>
        <v>15022</v>
      </c>
      <c r="B126" t="s">
        <v>43</v>
      </c>
      <c r="C126">
        <v>2023</v>
      </c>
      <c r="D126">
        <v>49.98</v>
      </c>
    </row>
    <row r="127" spans="1:4" x14ac:dyDescent="0.35">
      <c r="A127">
        <f>VLOOKUP(B127,'[1]Dane municipios'!$B$199:$C$321,2,0)</f>
        <v>15047</v>
      </c>
      <c r="B127" t="s">
        <v>44</v>
      </c>
      <c r="C127">
        <v>2023</v>
      </c>
      <c r="D127">
        <v>54.7</v>
      </c>
    </row>
    <row r="128" spans="1:4" x14ac:dyDescent="0.35">
      <c r="A128">
        <f>VLOOKUP(B128,'[1]Dane municipios'!$B$199:$C$321,2,0)</f>
        <v>15051</v>
      </c>
      <c r="B128" t="s">
        <v>45</v>
      </c>
      <c r="C128">
        <v>2023</v>
      </c>
      <c r="D128">
        <v>59.41</v>
      </c>
    </row>
    <row r="129" spans="1:4" x14ac:dyDescent="0.35">
      <c r="A129">
        <f>VLOOKUP(B129,'[1]Dane municipios'!$B$199:$C$321,2,0)</f>
        <v>15087</v>
      </c>
      <c r="B129" t="s">
        <v>135</v>
      </c>
      <c r="C129">
        <v>2023</v>
      </c>
      <c r="D129">
        <v>49.16</v>
      </c>
    </row>
    <row r="130" spans="1:4" x14ac:dyDescent="0.35">
      <c r="A130">
        <f>VLOOKUP(B130,'[1]Dane municipios'!$B$199:$C$321,2,0)</f>
        <v>15090</v>
      </c>
      <c r="B130" t="s">
        <v>46</v>
      </c>
      <c r="C130">
        <v>2023</v>
      </c>
      <c r="D130">
        <v>61.08</v>
      </c>
    </row>
    <row r="131" spans="1:4" x14ac:dyDescent="0.35">
      <c r="A131">
        <f>VLOOKUP(B131,'[1]Dane municipios'!$B$199:$C$321,2,0)</f>
        <v>15092</v>
      </c>
      <c r="B131" t="s">
        <v>136</v>
      </c>
      <c r="C131">
        <v>2023</v>
      </c>
      <c r="D131">
        <v>66.78</v>
      </c>
    </row>
    <row r="132" spans="1:4" x14ac:dyDescent="0.35">
      <c r="A132">
        <f>VLOOKUP(B132,'[1]Dane municipios'!$B$199:$C$321,2,0)</f>
        <v>15097</v>
      </c>
      <c r="B132" t="s">
        <v>47</v>
      </c>
      <c r="C132">
        <v>2023</v>
      </c>
      <c r="D132">
        <v>49.59</v>
      </c>
    </row>
    <row r="133" spans="1:4" x14ac:dyDescent="0.35">
      <c r="A133">
        <f>VLOOKUP(B133,'[1]Dane municipios'!$B$199:$C$321,2,0)</f>
        <v>15104</v>
      </c>
      <c r="B133" t="s">
        <v>137</v>
      </c>
      <c r="C133">
        <v>2023</v>
      </c>
      <c r="D133">
        <v>59.56</v>
      </c>
    </row>
    <row r="134" spans="1:4" x14ac:dyDescent="0.35">
      <c r="A134">
        <f>VLOOKUP(B134,'[1]Dane municipios'!$B$199:$C$321,2,0)</f>
        <v>15106</v>
      </c>
      <c r="B134" t="s">
        <v>48</v>
      </c>
      <c r="C134">
        <v>2023</v>
      </c>
      <c r="D134">
        <v>56.58</v>
      </c>
    </row>
    <row r="135" spans="1:4" x14ac:dyDescent="0.35">
      <c r="A135">
        <f>VLOOKUP(B135,'[1]Dane municipios'!$B$199:$C$321,2,0)</f>
        <v>15109</v>
      </c>
      <c r="B135" t="s">
        <v>49</v>
      </c>
      <c r="C135">
        <v>2023</v>
      </c>
      <c r="D135">
        <v>54.11</v>
      </c>
    </row>
    <row r="136" spans="1:4" x14ac:dyDescent="0.35">
      <c r="A136">
        <f>VLOOKUP(B136,'[1]Dane municipios'!$B$199:$C$321,2,0)</f>
        <v>15114</v>
      </c>
      <c r="B136" t="s">
        <v>141</v>
      </c>
      <c r="C136">
        <v>2023</v>
      </c>
      <c r="D136">
        <v>72.33</v>
      </c>
    </row>
    <row r="137" spans="1:4" x14ac:dyDescent="0.35">
      <c r="A137">
        <f>VLOOKUP(B137,'[1]Dane municipios'!$B$199:$C$321,2,0)</f>
        <v>15131</v>
      </c>
      <c r="B137" t="s">
        <v>50</v>
      </c>
      <c r="C137">
        <v>2023</v>
      </c>
      <c r="D137">
        <v>56.06</v>
      </c>
    </row>
    <row r="138" spans="1:4" x14ac:dyDescent="0.35">
      <c r="A138">
        <f>VLOOKUP(B138,'[1]Dane municipios'!$B$199:$C$321,2,0)</f>
        <v>15135</v>
      </c>
      <c r="B138" t="s">
        <v>51</v>
      </c>
      <c r="C138">
        <v>2023</v>
      </c>
      <c r="D138">
        <v>60.39</v>
      </c>
    </row>
    <row r="139" spans="1:4" x14ac:dyDescent="0.35">
      <c r="A139">
        <f>VLOOKUP(B139,'[1]Dane municipios'!$B$199:$C$321,2,0)</f>
        <v>15162</v>
      </c>
      <c r="B139" t="s">
        <v>52</v>
      </c>
      <c r="C139">
        <v>2023</v>
      </c>
      <c r="D139">
        <v>55.51</v>
      </c>
    </row>
    <row r="140" spans="1:4" x14ac:dyDescent="0.35">
      <c r="A140">
        <f>VLOOKUP(B140,'[1]Dane municipios'!$B$199:$C$321,2,0)</f>
        <v>15172</v>
      </c>
      <c r="B140" t="s">
        <v>53</v>
      </c>
      <c r="C140">
        <v>2023</v>
      </c>
      <c r="D140">
        <v>52.38</v>
      </c>
    </row>
    <row r="141" spans="1:4" x14ac:dyDescent="0.35">
      <c r="A141">
        <f>VLOOKUP(B141,'[1]Dane municipios'!$B$199:$C$321,2,0)</f>
        <v>15176</v>
      </c>
      <c r="B141" t="s">
        <v>142</v>
      </c>
      <c r="C141">
        <v>2023</v>
      </c>
      <c r="D141">
        <v>63.91</v>
      </c>
    </row>
    <row r="142" spans="1:4" x14ac:dyDescent="0.35">
      <c r="A142">
        <f>VLOOKUP(B142,'[1]Dane municipios'!$B$199:$C$321,2,0)</f>
        <v>15180</v>
      </c>
      <c r="B142" t="s">
        <v>54</v>
      </c>
      <c r="C142">
        <v>2023</v>
      </c>
      <c r="D142">
        <v>55.78</v>
      </c>
    </row>
    <row r="143" spans="1:4" x14ac:dyDescent="0.35">
      <c r="A143">
        <f>VLOOKUP(B143,'[1]Dane municipios'!$B$199:$C$321,2,0)</f>
        <v>15183</v>
      </c>
      <c r="B143" t="s">
        <v>55</v>
      </c>
      <c r="C143">
        <v>2023</v>
      </c>
      <c r="D143">
        <v>45.04</v>
      </c>
    </row>
    <row r="144" spans="1:4" x14ac:dyDescent="0.35">
      <c r="A144">
        <f>VLOOKUP(B144,'[1]Dane municipios'!$B$199:$C$321,2,0)</f>
        <v>15185</v>
      </c>
      <c r="B144" t="s">
        <v>56</v>
      </c>
      <c r="C144">
        <v>2023</v>
      </c>
      <c r="D144">
        <v>46.49</v>
      </c>
    </row>
    <row r="145" spans="1:4" x14ac:dyDescent="0.35">
      <c r="A145">
        <f>VLOOKUP(B145,'[1]Dane municipios'!$B$199:$C$321,2,0)</f>
        <v>15187</v>
      </c>
      <c r="B145" t="s">
        <v>143</v>
      </c>
      <c r="C145">
        <v>2023</v>
      </c>
      <c r="D145">
        <v>67.38</v>
      </c>
    </row>
    <row r="146" spans="1:4" x14ac:dyDescent="0.35">
      <c r="A146">
        <f>VLOOKUP(B146,'[1]Dane municipios'!$B$199:$C$321,2,0)</f>
        <v>15189</v>
      </c>
      <c r="B146" t="s">
        <v>144</v>
      </c>
      <c r="C146">
        <v>2023</v>
      </c>
      <c r="D146">
        <v>66.11</v>
      </c>
    </row>
    <row r="147" spans="1:4" x14ac:dyDescent="0.35">
      <c r="A147">
        <f>VLOOKUP(B147,'[1]Dane municipios'!$B$199:$C$321,2,0)</f>
        <v>15204</v>
      </c>
      <c r="B147" t="s">
        <v>145</v>
      </c>
      <c r="C147">
        <v>2023</v>
      </c>
      <c r="D147">
        <v>59.86</v>
      </c>
    </row>
    <row r="148" spans="1:4" x14ac:dyDescent="0.35">
      <c r="A148">
        <f>VLOOKUP(B148,'[1]Dane municipios'!$B$199:$C$321,2,0)</f>
        <v>15212</v>
      </c>
      <c r="B148" t="s">
        <v>57</v>
      </c>
      <c r="C148">
        <v>2023</v>
      </c>
      <c r="D148">
        <v>43.39</v>
      </c>
    </row>
    <row r="149" spans="1:4" x14ac:dyDescent="0.35">
      <c r="A149">
        <f>VLOOKUP(B149,'[1]Dane municipios'!$B$199:$C$321,2,0)</f>
        <v>15215</v>
      </c>
      <c r="B149" t="s">
        <v>58</v>
      </c>
      <c r="C149">
        <v>2023</v>
      </c>
      <c r="D149">
        <v>78.760000000000005</v>
      </c>
    </row>
    <row r="150" spans="1:4" x14ac:dyDescent="0.35">
      <c r="A150">
        <f>VLOOKUP(B150,'[1]Dane municipios'!$B$199:$C$321,2,0)</f>
        <v>15218</v>
      </c>
      <c r="B150" t="s">
        <v>146</v>
      </c>
      <c r="C150">
        <v>2023</v>
      </c>
      <c r="D150">
        <v>59.61</v>
      </c>
    </row>
    <row r="151" spans="1:4" x14ac:dyDescent="0.35">
      <c r="A151">
        <f>VLOOKUP(B151,'[1]Dane municipios'!$B$199:$C$321,2,0)</f>
        <v>15223</v>
      </c>
      <c r="B151" t="s">
        <v>148</v>
      </c>
      <c r="C151">
        <v>2023</v>
      </c>
      <c r="D151">
        <v>63.12</v>
      </c>
    </row>
    <row r="152" spans="1:4" x14ac:dyDescent="0.35">
      <c r="A152">
        <f>VLOOKUP(B152,'[1]Dane municipios'!$B$199:$C$321,2,0)</f>
        <v>15224</v>
      </c>
      <c r="B152" t="s">
        <v>59</v>
      </c>
      <c r="C152">
        <v>2023</v>
      </c>
      <c r="D152">
        <v>58.3</v>
      </c>
    </row>
    <row r="153" spans="1:4" x14ac:dyDescent="0.35">
      <c r="A153">
        <f>VLOOKUP(B153,'[1]Dane municipios'!$B$199:$C$321,2,0)</f>
        <v>15226</v>
      </c>
      <c r="B153" t="s">
        <v>147</v>
      </c>
      <c r="C153">
        <v>2023</v>
      </c>
      <c r="D153">
        <v>67.2</v>
      </c>
    </row>
    <row r="154" spans="1:4" x14ac:dyDescent="0.35">
      <c r="A154">
        <f>VLOOKUP(B154,'[1]Dane municipios'!$B$199:$C$321,2,0)</f>
        <v>15232</v>
      </c>
      <c r="B154" t="s">
        <v>149</v>
      </c>
      <c r="C154">
        <v>2023</v>
      </c>
      <c r="D154">
        <v>59.75</v>
      </c>
    </row>
    <row r="155" spans="1:4" x14ac:dyDescent="0.35">
      <c r="A155">
        <f>VLOOKUP(B155,'[1]Dane municipios'!$B$199:$C$321,2,0)</f>
        <v>15236</v>
      </c>
      <c r="B155" t="s">
        <v>60</v>
      </c>
      <c r="C155">
        <v>2023</v>
      </c>
      <c r="D155">
        <v>56.2</v>
      </c>
    </row>
    <row r="156" spans="1:4" x14ac:dyDescent="0.35">
      <c r="A156">
        <f>VLOOKUP(B156,'[1]Dane municipios'!$B$199:$C$321,2,0)</f>
        <v>15238</v>
      </c>
      <c r="B156" t="s">
        <v>61</v>
      </c>
      <c r="C156">
        <v>2023</v>
      </c>
      <c r="D156">
        <v>62.03</v>
      </c>
    </row>
    <row r="157" spans="1:4" x14ac:dyDescent="0.35">
      <c r="A157">
        <f>VLOOKUP(B157,'[1]Dane municipios'!$B$199:$C$321,2,0)</f>
        <v>15244</v>
      </c>
      <c r="B157" t="s">
        <v>62</v>
      </c>
      <c r="C157">
        <v>2023</v>
      </c>
      <c r="D157">
        <v>51.6</v>
      </c>
    </row>
    <row r="158" spans="1:4" x14ac:dyDescent="0.35">
      <c r="A158">
        <f>VLOOKUP(B158,'[1]Dane municipios'!$B$199:$C$321,2,0)</f>
        <v>15248</v>
      </c>
      <c r="B158" t="s">
        <v>63</v>
      </c>
      <c r="C158">
        <v>2023</v>
      </c>
      <c r="D158">
        <v>58.1</v>
      </c>
    </row>
    <row r="159" spans="1:4" x14ac:dyDescent="0.35">
      <c r="A159">
        <f>VLOOKUP(B159,'[1]Dane municipios'!$B$199:$C$321,2,0)</f>
        <v>15272</v>
      </c>
      <c r="B159" t="s">
        <v>64</v>
      </c>
      <c r="C159">
        <v>2023</v>
      </c>
      <c r="D159">
        <v>52.93</v>
      </c>
    </row>
    <row r="160" spans="1:4" x14ac:dyDescent="0.35">
      <c r="A160">
        <f>VLOOKUP(B160,'[1]Dane municipios'!$B$199:$C$321,2,0)</f>
        <v>15276</v>
      </c>
      <c r="B160" t="s">
        <v>65</v>
      </c>
      <c r="C160">
        <v>2023</v>
      </c>
      <c r="D160">
        <v>54.23</v>
      </c>
    </row>
    <row r="161" spans="1:4" x14ac:dyDescent="0.35">
      <c r="A161">
        <f>VLOOKUP(B161,'[1]Dane municipios'!$B$199:$C$321,2,0)</f>
        <v>15293</v>
      </c>
      <c r="B161" t="s">
        <v>150</v>
      </c>
      <c r="C161">
        <v>2023</v>
      </c>
      <c r="D161">
        <v>50.9</v>
      </c>
    </row>
    <row r="162" spans="1:4" x14ac:dyDescent="0.35">
      <c r="A162">
        <f>VLOOKUP(B162,'[1]Dane municipios'!$B$199:$C$321,2,0)</f>
        <v>15296</v>
      </c>
      <c r="B162" t="s">
        <v>151</v>
      </c>
      <c r="C162">
        <v>2023</v>
      </c>
      <c r="D162">
        <v>40.92</v>
      </c>
    </row>
    <row r="163" spans="1:4" x14ac:dyDescent="0.35">
      <c r="A163">
        <f>VLOOKUP(B163,'[1]Dane municipios'!$B$199:$C$321,2,0)</f>
        <v>15299</v>
      </c>
      <c r="B163" t="s">
        <v>66</v>
      </c>
      <c r="C163">
        <v>2023</v>
      </c>
      <c r="D163">
        <v>60.58</v>
      </c>
    </row>
    <row r="164" spans="1:4" x14ac:dyDescent="0.35">
      <c r="A164">
        <f>VLOOKUP(B164,'[1]Dane municipios'!$B$199:$C$321,2,0)</f>
        <v>15317</v>
      </c>
      <c r="B164" t="s">
        <v>67</v>
      </c>
      <c r="C164">
        <v>2023</v>
      </c>
      <c r="D164">
        <v>61.12</v>
      </c>
    </row>
    <row r="165" spans="1:4" x14ac:dyDescent="0.35">
      <c r="A165">
        <f>VLOOKUP(B165,'[1]Dane municipios'!$B$199:$C$321,2,0)</f>
        <v>15322</v>
      </c>
      <c r="B165" t="s">
        <v>68</v>
      </c>
      <c r="C165">
        <v>2023</v>
      </c>
      <c r="D165">
        <v>59.73</v>
      </c>
    </row>
    <row r="166" spans="1:4" x14ac:dyDescent="0.35">
      <c r="A166">
        <f>VLOOKUP(B166,'[1]Dane municipios'!$B$199:$C$321,2,0)</f>
        <v>15325</v>
      </c>
      <c r="B166" t="s">
        <v>152</v>
      </c>
      <c r="C166">
        <v>2023</v>
      </c>
      <c r="D166">
        <v>50.88</v>
      </c>
    </row>
    <row r="167" spans="1:4" x14ac:dyDescent="0.35">
      <c r="A167">
        <f>VLOOKUP(B167,'[1]Dane municipios'!$B$199:$C$321,2,0)</f>
        <v>15332</v>
      </c>
      <c r="B167" t="s">
        <v>153</v>
      </c>
      <c r="C167">
        <v>2023</v>
      </c>
      <c r="D167">
        <v>56.48</v>
      </c>
    </row>
    <row r="168" spans="1:4" x14ac:dyDescent="0.35">
      <c r="A168">
        <f>VLOOKUP(B168,'[1]Dane municipios'!$B$199:$C$321,2,0)</f>
        <v>15362</v>
      </c>
      <c r="B168" t="s">
        <v>69</v>
      </c>
      <c r="C168">
        <v>2023</v>
      </c>
      <c r="D168">
        <v>62.68</v>
      </c>
    </row>
    <row r="169" spans="1:4" x14ac:dyDescent="0.35">
      <c r="A169">
        <f>VLOOKUP(B169,'[1]Dane municipios'!$B$199:$C$321,2,0)</f>
        <v>15367</v>
      </c>
      <c r="B169" t="s">
        <v>70</v>
      </c>
      <c r="C169">
        <v>2023</v>
      </c>
      <c r="D169">
        <v>66.06</v>
      </c>
    </row>
    <row r="170" spans="1:4" x14ac:dyDescent="0.35">
      <c r="A170">
        <f>VLOOKUP(B170,'[1]Dane municipios'!$B$199:$C$321,2,0)</f>
        <v>15368</v>
      </c>
      <c r="B170" t="s">
        <v>154</v>
      </c>
      <c r="C170">
        <v>2023</v>
      </c>
      <c r="D170">
        <v>53.62</v>
      </c>
    </row>
    <row r="171" spans="1:4" x14ac:dyDescent="0.35">
      <c r="A171">
        <f>VLOOKUP(B171,'[1]Dane municipios'!$B$199:$C$321,2,0)</f>
        <v>15377</v>
      </c>
      <c r="B171" t="s">
        <v>71</v>
      </c>
      <c r="C171">
        <v>2023</v>
      </c>
      <c r="D171">
        <v>41.48</v>
      </c>
    </row>
    <row r="172" spans="1:4" x14ac:dyDescent="0.35">
      <c r="A172">
        <f>VLOOKUP(B172,'[1]Dane municipios'!$B$199:$C$321,2,0)</f>
        <v>15380</v>
      </c>
      <c r="B172" t="s">
        <v>72</v>
      </c>
      <c r="C172">
        <v>2023</v>
      </c>
      <c r="D172">
        <v>57.68</v>
      </c>
    </row>
    <row r="173" spans="1:4" x14ac:dyDescent="0.35">
      <c r="A173">
        <f>VLOOKUP(B173,'[1]Dane municipios'!$B$199:$C$321,2,0)</f>
        <v>15401</v>
      </c>
      <c r="B173" t="s">
        <v>73</v>
      </c>
      <c r="C173">
        <v>2023</v>
      </c>
      <c r="D173">
        <v>48.57</v>
      </c>
    </row>
    <row r="174" spans="1:4" x14ac:dyDescent="0.35">
      <c r="A174">
        <f>VLOOKUP(B174,'[1]Dane municipios'!$B$199:$C$321,2,0)</f>
        <v>15403</v>
      </c>
      <c r="B174" t="s">
        <v>74</v>
      </c>
      <c r="C174">
        <v>2023</v>
      </c>
      <c r="D174">
        <v>55.12</v>
      </c>
    </row>
    <row r="175" spans="1:4" x14ac:dyDescent="0.35">
      <c r="A175">
        <f>VLOOKUP(B175,'[1]Dane municipios'!$B$199:$C$321,2,0)</f>
        <v>15407</v>
      </c>
      <c r="B175" t="s">
        <v>75</v>
      </c>
      <c r="C175">
        <v>2023</v>
      </c>
      <c r="D175">
        <v>61.38</v>
      </c>
    </row>
    <row r="176" spans="1:4" x14ac:dyDescent="0.35">
      <c r="A176">
        <f>VLOOKUP(B176,'[1]Dane municipios'!$B$199:$C$321,2,0)</f>
        <v>15425</v>
      </c>
      <c r="B176" t="s">
        <v>76</v>
      </c>
      <c r="C176">
        <v>2023</v>
      </c>
      <c r="D176">
        <v>65.11</v>
      </c>
    </row>
    <row r="177" spans="1:4" x14ac:dyDescent="0.35">
      <c r="A177">
        <f>VLOOKUP(B177,'[1]Dane municipios'!$B$199:$C$321,2,0)</f>
        <v>15442</v>
      </c>
      <c r="B177" t="s">
        <v>155</v>
      </c>
      <c r="C177">
        <v>2023</v>
      </c>
      <c r="D177">
        <v>40.799999999999997</v>
      </c>
    </row>
    <row r="178" spans="1:4" x14ac:dyDescent="0.35">
      <c r="A178">
        <f>VLOOKUP(B178,'[1]Dane municipios'!$B$199:$C$321,2,0)</f>
        <v>15455</v>
      </c>
      <c r="B178" t="s">
        <v>77</v>
      </c>
      <c r="C178">
        <v>2023</v>
      </c>
      <c r="D178">
        <v>62.07</v>
      </c>
    </row>
    <row r="179" spans="1:4" x14ac:dyDescent="0.35">
      <c r="A179">
        <f>VLOOKUP(B179,'[1]Dane municipios'!$B$199:$C$321,2,0)</f>
        <v>15464</v>
      </c>
      <c r="B179" t="s">
        <v>78</v>
      </c>
      <c r="C179">
        <v>2023</v>
      </c>
      <c r="D179">
        <v>57.56</v>
      </c>
    </row>
    <row r="180" spans="1:4" x14ac:dyDescent="0.35">
      <c r="A180">
        <f>VLOOKUP(B180,'[1]Dane municipios'!$B$199:$C$321,2,0)</f>
        <v>15466</v>
      </c>
      <c r="B180" t="s">
        <v>156</v>
      </c>
      <c r="C180">
        <v>2023</v>
      </c>
      <c r="D180">
        <v>57.38</v>
      </c>
    </row>
    <row r="181" spans="1:4" x14ac:dyDescent="0.35">
      <c r="A181">
        <f>VLOOKUP(B181,'[1]Dane municipios'!$B$199:$C$321,2,0)</f>
        <v>15469</v>
      </c>
      <c r="B181" t="s">
        <v>157</v>
      </c>
      <c r="C181">
        <v>2023</v>
      </c>
      <c r="D181">
        <v>56.27</v>
      </c>
    </row>
    <row r="182" spans="1:4" x14ac:dyDescent="0.35">
      <c r="A182">
        <f>VLOOKUP(B182,'[1]Dane municipios'!$B$199:$C$321,2,0)</f>
        <v>15476</v>
      </c>
      <c r="B182" t="s">
        <v>79</v>
      </c>
      <c r="C182">
        <v>2023</v>
      </c>
      <c r="D182">
        <v>60.45</v>
      </c>
    </row>
    <row r="183" spans="1:4" x14ac:dyDescent="0.35">
      <c r="A183">
        <f>VLOOKUP(B183,'[1]Dane municipios'!$B$199:$C$321,2,0)</f>
        <v>15480</v>
      </c>
      <c r="B183" t="s">
        <v>80</v>
      </c>
      <c r="C183">
        <v>2023</v>
      </c>
      <c r="D183">
        <v>55.34</v>
      </c>
    </row>
    <row r="184" spans="1:4" x14ac:dyDescent="0.35">
      <c r="A184">
        <f>VLOOKUP(B184,'[1]Dane municipios'!$B$199:$C$321,2,0)</f>
        <v>15491</v>
      </c>
      <c r="B184" t="s">
        <v>81</v>
      </c>
      <c r="C184">
        <v>2023</v>
      </c>
      <c r="D184">
        <v>54.45</v>
      </c>
    </row>
    <row r="185" spans="1:4" x14ac:dyDescent="0.35">
      <c r="A185">
        <f>VLOOKUP(B185,'[1]Dane municipios'!$B$199:$C$321,2,0)</f>
        <v>15494</v>
      </c>
      <c r="B185" t="s">
        <v>158</v>
      </c>
      <c r="C185">
        <v>2023</v>
      </c>
      <c r="D185">
        <v>58.1</v>
      </c>
    </row>
    <row r="186" spans="1:4" x14ac:dyDescent="0.35">
      <c r="A186">
        <f>VLOOKUP(B186,'[1]Dane municipios'!$B$199:$C$321,2,0)</f>
        <v>15500</v>
      </c>
      <c r="B186" t="s">
        <v>159</v>
      </c>
      <c r="C186">
        <v>2023</v>
      </c>
      <c r="D186">
        <v>66.08</v>
      </c>
    </row>
    <row r="187" spans="1:4" x14ac:dyDescent="0.35">
      <c r="A187">
        <f>VLOOKUP(B187,'[1]Dane municipios'!$B$199:$C$321,2,0)</f>
        <v>15507</v>
      </c>
      <c r="B187" t="s">
        <v>82</v>
      </c>
      <c r="C187">
        <v>2023</v>
      </c>
      <c r="D187">
        <v>61.5</v>
      </c>
    </row>
    <row r="188" spans="1:4" x14ac:dyDescent="0.35">
      <c r="A188">
        <f>VLOOKUP(B188,'[1]Dane municipios'!$B$199:$C$321,2,0)</f>
        <v>15511</v>
      </c>
      <c r="B188" t="s">
        <v>83</v>
      </c>
      <c r="C188">
        <v>2023</v>
      </c>
      <c r="D188">
        <v>52.41</v>
      </c>
    </row>
    <row r="189" spans="1:4" x14ac:dyDescent="0.35">
      <c r="A189">
        <f>VLOOKUP(B189,'[1]Dane municipios'!$B$199:$C$321,2,0)</f>
        <v>15514</v>
      </c>
      <c r="B189" t="s">
        <v>160</v>
      </c>
      <c r="C189">
        <v>2023</v>
      </c>
      <c r="D189">
        <v>60.77</v>
      </c>
    </row>
    <row r="190" spans="1:4" x14ac:dyDescent="0.35">
      <c r="A190">
        <f>VLOOKUP(B190,'[1]Dane municipios'!$B$199:$C$321,2,0)</f>
        <v>15516</v>
      </c>
      <c r="B190" t="s">
        <v>84</v>
      </c>
      <c r="C190">
        <v>2023</v>
      </c>
      <c r="D190">
        <v>67.37</v>
      </c>
    </row>
    <row r="191" spans="1:4" x14ac:dyDescent="0.35">
      <c r="A191">
        <f>VLOOKUP(B191,'[1]Dane municipios'!$B$199:$C$321,2,0)</f>
        <v>15518</v>
      </c>
      <c r="B191" t="s">
        <v>85</v>
      </c>
      <c r="C191">
        <v>2023</v>
      </c>
      <c r="D191">
        <v>47.79</v>
      </c>
    </row>
    <row r="192" spans="1:4" x14ac:dyDescent="0.35">
      <c r="A192">
        <f>VLOOKUP(B192,'[1]Dane municipios'!$B$199:$C$321,2,0)</f>
        <v>15522</v>
      </c>
      <c r="B192" t="s">
        <v>86</v>
      </c>
      <c r="C192">
        <v>2023</v>
      </c>
      <c r="D192">
        <v>71.88</v>
      </c>
    </row>
    <row r="193" spans="1:4" x14ac:dyDescent="0.35">
      <c r="A193">
        <f>VLOOKUP(B193,'[1]Dane municipios'!$B$199:$C$321,2,0)</f>
        <v>15531</v>
      </c>
      <c r="B193" t="s">
        <v>87</v>
      </c>
      <c r="C193">
        <v>2023</v>
      </c>
      <c r="D193">
        <v>58.02</v>
      </c>
    </row>
    <row r="194" spans="1:4" x14ac:dyDescent="0.35">
      <c r="A194">
        <f>VLOOKUP(B194,'[1]Dane municipios'!$B$199:$C$321,2,0)</f>
        <v>15533</v>
      </c>
      <c r="B194" t="s">
        <v>88</v>
      </c>
      <c r="C194">
        <v>2023</v>
      </c>
      <c r="D194">
        <v>59.75</v>
      </c>
    </row>
    <row r="195" spans="1:4" x14ac:dyDescent="0.35">
      <c r="A195">
        <f>VLOOKUP(B195,'[1]Dane municipios'!$B$199:$C$321,2,0)</f>
        <v>15537</v>
      </c>
      <c r="B195" t="s">
        <v>161</v>
      </c>
      <c r="C195">
        <v>2023</v>
      </c>
      <c r="D195">
        <v>68.06</v>
      </c>
    </row>
    <row r="196" spans="1:4" x14ac:dyDescent="0.35">
      <c r="A196">
        <f>VLOOKUP(B196,'[1]Dane municipios'!$B$199:$C$321,2,0)</f>
        <v>15542</v>
      </c>
      <c r="B196" t="s">
        <v>89</v>
      </c>
      <c r="C196">
        <v>2023</v>
      </c>
      <c r="D196">
        <v>61.86</v>
      </c>
    </row>
    <row r="197" spans="1:4" x14ac:dyDescent="0.35">
      <c r="A197">
        <f>VLOOKUP(B197,'[1]Dane municipios'!$B$199:$C$321,2,0)</f>
        <v>15550</v>
      </c>
      <c r="B197" t="s">
        <v>90</v>
      </c>
      <c r="C197">
        <v>2023</v>
      </c>
      <c r="D197">
        <v>50.07</v>
      </c>
    </row>
    <row r="198" spans="1:4" x14ac:dyDescent="0.35">
      <c r="A198">
        <f>VLOOKUP(B198,'[1]Dane municipios'!$B$199:$C$321,2,0)</f>
        <v>15572</v>
      </c>
      <c r="B198" t="s">
        <v>138</v>
      </c>
      <c r="C198">
        <v>2023</v>
      </c>
      <c r="D198">
        <v>61.71</v>
      </c>
    </row>
    <row r="199" spans="1:4" x14ac:dyDescent="0.35">
      <c r="A199">
        <f>VLOOKUP(B199,'[1]Dane municipios'!$B$199:$C$321,2,0)</f>
        <v>15580</v>
      </c>
      <c r="B199" t="s">
        <v>162</v>
      </c>
      <c r="C199">
        <v>2023</v>
      </c>
      <c r="D199">
        <v>45.78</v>
      </c>
    </row>
    <row r="200" spans="1:4" x14ac:dyDescent="0.35">
      <c r="A200">
        <f>VLOOKUP(B200,'[1]Dane municipios'!$B$199:$C$321,2,0)</f>
        <v>15599</v>
      </c>
      <c r="B200" t="s">
        <v>163</v>
      </c>
      <c r="C200">
        <v>2023</v>
      </c>
      <c r="D200">
        <v>63.48</v>
      </c>
    </row>
    <row r="201" spans="1:4" x14ac:dyDescent="0.35">
      <c r="A201">
        <f>VLOOKUP(B201,'[1]Dane municipios'!$B$199:$C$321,2,0)</f>
        <v>15600</v>
      </c>
      <c r="B201" t="s">
        <v>164</v>
      </c>
      <c r="C201">
        <v>2023</v>
      </c>
      <c r="D201">
        <v>50.35</v>
      </c>
    </row>
    <row r="202" spans="1:4" x14ac:dyDescent="0.35">
      <c r="A202">
        <f>VLOOKUP(B202,'[1]Dane municipios'!$B$199:$C$321,2,0)</f>
        <v>15621</v>
      </c>
      <c r="B202" t="s">
        <v>165</v>
      </c>
      <c r="C202">
        <v>2023</v>
      </c>
      <c r="D202">
        <v>60.64</v>
      </c>
    </row>
    <row r="203" spans="1:4" x14ac:dyDescent="0.35">
      <c r="A203">
        <f>VLOOKUP(B203,'[1]Dane municipios'!$B$199:$C$321,2,0)</f>
        <v>15632</v>
      </c>
      <c r="B203" t="s">
        <v>166</v>
      </c>
      <c r="C203">
        <v>2023</v>
      </c>
      <c r="D203">
        <v>59.8</v>
      </c>
    </row>
    <row r="204" spans="1:4" x14ac:dyDescent="0.35">
      <c r="A204">
        <f>VLOOKUP(B204,'[1]Dane municipios'!$B$199:$C$321,2,0)</f>
        <v>15638</v>
      </c>
      <c r="B204" t="s">
        <v>167</v>
      </c>
      <c r="C204">
        <v>2023</v>
      </c>
      <c r="D204">
        <v>67.06</v>
      </c>
    </row>
    <row r="205" spans="1:4" x14ac:dyDescent="0.35">
      <c r="A205">
        <f>VLOOKUP(B205,'[1]Dane municipios'!$B$199:$C$321,2,0)</f>
        <v>15646</v>
      </c>
      <c r="B205" t="s">
        <v>168</v>
      </c>
      <c r="C205">
        <v>2023</v>
      </c>
      <c r="D205">
        <v>63.78</v>
      </c>
    </row>
    <row r="206" spans="1:4" x14ac:dyDescent="0.35">
      <c r="A206">
        <f>VLOOKUP(B206,'[1]Dane municipios'!$B$199:$C$321,2,0)</f>
        <v>15660</v>
      </c>
      <c r="B206" t="s">
        <v>91</v>
      </c>
      <c r="C206">
        <v>2023</v>
      </c>
      <c r="D206">
        <v>61.31</v>
      </c>
    </row>
    <row r="207" spans="1:4" x14ac:dyDescent="0.35">
      <c r="A207">
        <f>VLOOKUP(B207,'[1]Dane municipios'!$B$199:$C$321,2,0)</f>
        <v>15664</v>
      </c>
      <c r="B207" t="s">
        <v>169</v>
      </c>
      <c r="C207">
        <v>2023</v>
      </c>
      <c r="D207">
        <v>54.81</v>
      </c>
    </row>
    <row r="208" spans="1:4" x14ac:dyDescent="0.35">
      <c r="A208">
        <f>VLOOKUP(B208,'[1]Dane municipios'!$B$199:$C$321,2,0)</f>
        <v>15667</v>
      </c>
      <c r="B208" t="s">
        <v>92</v>
      </c>
      <c r="C208">
        <v>2023</v>
      </c>
      <c r="D208">
        <v>51.72</v>
      </c>
    </row>
    <row r="209" spans="1:4" x14ac:dyDescent="0.35">
      <c r="A209">
        <f>VLOOKUP(B209,'[1]Dane municipios'!$B$199:$C$321,2,0)</f>
        <v>15673</v>
      </c>
      <c r="B209" t="s">
        <v>93</v>
      </c>
      <c r="C209">
        <v>2023</v>
      </c>
      <c r="D209">
        <v>51.25</v>
      </c>
    </row>
    <row r="210" spans="1:4" x14ac:dyDescent="0.35">
      <c r="A210">
        <f>VLOOKUP(B210,'[1]Dane municipios'!$B$199:$C$321,2,0)</f>
        <v>15676</v>
      </c>
      <c r="B210" t="s">
        <v>94</v>
      </c>
      <c r="C210">
        <v>2023</v>
      </c>
      <c r="D210">
        <v>77.61</v>
      </c>
    </row>
    <row r="211" spans="1:4" x14ac:dyDescent="0.35">
      <c r="A211">
        <f>VLOOKUP(B211,'[1]Dane municipios'!$B$199:$C$321,2,0)</f>
        <v>15681</v>
      </c>
      <c r="B211" t="s">
        <v>95</v>
      </c>
      <c r="C211">
        <v>2023</v>
      </c>
      <c r="D211">
        <v>47.63</v>
      </c>
    </row>
    <row r="212" spans="1:4" x14ac:dyDescent="0.35">
      <c r="A212">
        <f>VLOOKUP(B212,'[1]Dane municipios'!$B$199:$C$321,2,0)</f>
        <v>15686</v>
      </c>
      <c r="B212" t="s">
        <v>96</v>
      </c>
      <c r="C212">
        <v>2023</v>
      </c>
      <c r="D212">
        <v>55.77</v>
      </c>
    </row>
    <row r="213" spans="1:4" x14ac:dyDescent="0.35">
      <c r="A213">
        <f>VLOOKUP(B213,'[1]Dane municipios'!$B$199:$C$321,2,0)</f>
        <v>15690</v>
      </c>
      <c r="B213" t="s">
        <v>170</v>
      </c>
      <c r="C213">
        <v>2023</v>
      </c>
      <c r="D213">
        <v>52.77</v>
      </c>
    </row>
    <row r="214" spans="1:4" x14ac:dyDescent="0.35">
      <c r="A214">
        <f>VLOOKUP(B214,'[1]Dane municipios'!$B$199:$C$321,2,0)</f>
        <v>15693</v>
      </c>
      <c r="B214" t="s">
        <v>97</v>
      </c>
      <c r="C214">
        <v>2023</v>
      </c>
      <c r="D214">
        <v>53.09</v>
      </c>
    </row>
    <row r="215" spans="1:4" x14ac:dyDescent="0.35">
      <c r="A215">
        <f>VLOOKUP(B215,'[1]Dane municipios'!$B$199:$C$321,2,0)</f>
        <v>15696</v>
      </c>
      <c r="B215" t="s">
        <v>171</v>
      </c>
      <c r="C215">
        <v>2023</v>
      </c>
      <c r="D215">
        <v>59.65</v>
      </c>
    </row>
    <row r="216" spans="1:4" x14ac:dyDescent="0.35">
      <c r="A216">
        <f>VLOOKUP(B216,'[1]Dane municipios'!$B$199:$C$321,2,0)</f>
        <v>15720</v>
      </c>
      <c r="B216" t="s">
        <v>98</v>
      </c>
      <c r="C216">
        <v>2023</v>
      </c>
      <c r="D216">
        <v>56</v>
      </c>
    </row>
    <row r="217" spans="1:4" x14ac:dyDescent="0.35">
      <c r="A217">
        <f>VLOOKUP(B217,'[1]Dane municipios'!$B$199:$C$321,2,0)</f>
        <v>15723</v>
      </c>
      <c r="B217" t="s">
        <v>99</v>
      </c>
      <c r="C217">
        <v>2023</v>
      </c>
      <c r="D217">
        <v>70.36</v>
      </c>
    </row>
    <row r="218" spans="1:4" x14ac:dyDescent="0.35">
      <c r="A218">
        <f>VLOOKUP(B218,'[1]Dane municipios'!$B$199:$C$321,2,0)</f>
        <v>15740</v>
      </c>
      <c r="B218" t="s">
        <v>100</v>
      </c>
      <c r="C218">
        <v>2023</v>
      </c>
      <c r="D218">
        <v>63.97</v>
      </c>
    </row>
    <row r="219" spans="1:4" x14ac:dyDescent="0.35">
      <c r="A219">
        <f>VLOOKUP(B219,'[1]Dane municipios'!$B$199:$C$321,2,0)</f>
        <v>15753</v>
      </c>
      <c r="B219" t="s">
        <v>172</v>
      </c>
      <c r="C219">
        <v>2023</v>
      </c>
      <c r="D219">
        <v>62</v>
      </c>
    </row>
    <row r="220" spans="1:4" x14ac:dyDescent="0.35">
      <c r="A220">
        <f>VLOOKUP(B220,'[1]Dane municipios'!$B$199:$C$321,2,0)</f>
        <v>15755</v>
      </c>
      <c r="B220" t="s">
        <v>173</v>
      </c>
      <c r="C220">
        <v>2023</v>
      </c>
      <c r="D220">
        <v>67.8</v>
      </c>
    </row>
    <row r="221" spans="1:4" x14ac:dyDescent="0.35">
      <c r="A221">
        <f>VLOOKUP(B221,'[1]Dane municipios'!$B$199:$C$321,2,0)</f>
        <v>15757</v>
      </c>
      <c r="B221" t="s">
        <v>101</v>
      </c>
      <c r="C221">
        <v>2023</v>
      </c>
      <c r="D221">
        <v>53.51</v>
      </c>
    </row>
    <row r="222" spans="1:4" x14ac:dyDescent="0.35">
      <c r="A222">
        <f>VLOOKUP(B222,'[1]Dane municipios'!$B$199:$C$321,2,0)</f>
        <v>15759</v>
      </c>
      <c r="B222" t="s">
        <v>102</v>
      </c>
      <c r="C222">
        <v>2023</v>
      </c>
      <c r="D222">
        <v>58.83</v>
      </c>
    </row>
    <row r="223" spans="1:4" x14ac:dyDescent="0.35">
      <c r="A223">
        <f>VLOOKUP(B223,'[1]Dane municipios'!$B$199:$C$321,2,0)</f>
        <v>15761</v>
      </c>
      <c r="B223" t="s">
        <v>103</v>
      </c>
      <c r="C223">
        <v>2023</v>
      </c>
      <c r="D223">
        <v>54.03</v>
      </c>
    </row>
    <row r="224" spans="1:4" x14ac:dyDescent="0.35">
      <c r="A224">
        <f>VLOOKUP(B224,'[1]Dane municipios'!$B$199:$C$321,2,0)</f>
        <v>15762</v>
      </c>
      <c r="B224" t="s">
        <v>104</v>
      </c>
      <c r="C224">
        <v>2023</v>
      </c>
      <c r="D224">
        <v>65.38</v>
      </c>
    </row>
    <row r="225" spans="1:4" x14ac:dyDescent="0.35">
      <c r="A225">
        <f>VLOOKUP(B225,'[1]Dane municipios'!$B$199:$C$321,2,0)</f>
        <v>15763</v>
      </c>
      <c r="B225" t="s">
        <v>174</v>
      </c>
      <c r="C225">
        <v>2023</v>
      </c>
      <c r="D225">
        <v>63.33</v>
      </c>
    </row>
    <row r="226" spans="1:4" x14ac:dyDescent="0.35">
      <c r="A226">
        <f>VLOOKUP(B226,'[1]Dane municipios'!$B$199:$C$321,2,0)</f>
        <v>15764</v>
      </c>
      <c r="B226" t="s">
        <v>175</v>
      </c>
      <c r="C226">
        <v>2023</v>
      </c>
      <c r="D226">
        <v>53.34</v>
      </c>
    </row>
    <row r="227" spans="1:4" x14ac:dyDescent="0.35">
      <c r="A227">
        <f>VLOOKUP(B227,'[1]Dane municipios'!$B$199:$C$321,2,0)</f>
        <v>15774</v>
      </c>
      <c r="B227" t="s">
        <v>176</v>
      </c>
      <c r="C227">
        <v>2023</v>
      </c>
      <c r="D227">
        <v>61.9</v>
      </c>
    </row>
    <row r="228" spans="1:4" x14ac:dyDescent="0.35">
      <c r="A228">
        <f>VLOOKUP(B228,'[1]Dane municipios'!$B$199:$C$321,2,0)</f>
        <v>15776</v>
      </c>
      <c r="B228" t="s">
        <v>177</v>
      </c>
      <c r="C228">
        <v>2023</v>
      </c>
      <c r="D228">
        <v>61.15</v>
      </c>
    </row>
    <row r="229" spans="1:4" x14ac:dyDescent="0.35">
      <c r="A229">
        <f>VLOOKUP(B229,'[1]Dane municipios'!$B$199:$C$321,2,0)</f>
        <v>15778</v>
      </c>
      <c r="B229" t="s">
        <v>105</v>
      </c>
      <c r="C229">
        <v>2023</v>
      </c>
      <c r="D229">
        <v>44.89</v>
      </c>
    </row>
    <row r="230" spans="1:4" x14ac:dyDescent="0.35">
      <c r="A230">
        <f>VLOOKUP(B230,'[1]Dane municipios'!$B$199:$C$321,2,0)</f>
        <v>15790</v>
      </c>
      <c r="B230" t="s">
        <v>106</v>
      </c>
      <c r="C230">
        <v>2023</v>
      </c>
      <c r="D230">
        <v>65.34</v>
      </c>
    </row>
    <row r="231" spans="1:4" x14ac:dyDescent="0.35">
      <c r="A231">
        <f>VLOOKUP(B231,'[1]Dane municipios'!$B$199:$C$321,2,0)</f>
        <v>15798</v>
      </c>
      <c r="B231" t="s">
        <v>107</v>
      </c>
      <c r="C231">
        <v>2023</v>
      </c>
      <c r="D231">
        <v>49.93</v>
      </c>
    </row>
    <row r="232" spans="1:4" x14ac:dyDescent="0.35">
      <c r="A232">
        <f>VLOOKUP(B232,'[1]Dane municipios'!$B$199:$C$321,2,0)</f>
        <v>15804</v>
      </c>
      <c r="B232" t="s">
        <v>178</v>
      </c>
      <c r="C232">
        <v>2023</v>
      </c>
      <c r="D232">
        <v>61.97</v>
      </c>
    </row>
    <row r="233" spans="1:4" x14ac:dyDescent="0.35">
      <c r="A233">
        <f>VLOOKUP(B233,'[1]Dane municipios'!$B$199:$C$321,2,0)</f>
        <v>15806</v>
      </c>
      <c r="B233" t="s">
        <v>108</v>
      </c>
      <c r="C233">
        <v>2023</v>
      </c>
      <c r="D233">
        <v>68.959999999999994</v>
      </c>
    </row>
    <row r="234" spans="1:4" x14ac:dyDescent="0.35">
      <c r="A234">
        <f>VLOOKUP(B234,'[1]Dane municipios'!$B$199:$C$321,2,0)</f>
        <v>15808</v>
      </c>
      <c r="B234" t="s">
        <v>179</v>
      </c>
      <c r="C234">
        <v>2023</v>
      </c>
      <c r="D234">
        <v>61.5</v>
      </c>
    </row>
    <row r="235" spans="1:4" x14ac:dyDescent="0.35">
      <c r="A235">
        <f>VLOOKUP(B235,'[1]Dane municipios'!$B$199:$C$321,2,0)</f>
        <v>15810</v>
      </c>
      <c r="B235" t="s">
        <v>109</v>
      </c>
      <c r="C235">
        <v>2023</v>
      </c>
      <c r="D235">
        <v>58.67</v>
      </c>
    </row>
    <row r="236" spans="1:4" x14ac:dyDescent="0.35">
      <c r="A236">
        <f>VLOOKUP(B236,'[1]Dane municipios'!$B$199:$C$321,2,0)</f>
        <v>15814</v>
      </c>
      <c r="B236" t="s">
        <v>110</v>
      </c>
      <c r="C236">
        <v>2023</v>
      </c>
      <c r="D236">
        <v>61.58</v>
      </c>
    </row>
    <row r="237" spans="1:4" x14ac:dyDescent="0.35">
      <c r="A237">
        <f>VLOOKUP(B237,'[1]Dane municipios'!$B$199:$C$321,2,0)</f>
        <v>15816</v>
      </c>
      <c r="B237" t="s">
        <v>180</v>
      </c>
      <c r="C237">
        <v>2023</v>
      </c>
      <c r="D237">
        <v>60.97</v>
      </c>
    </row>
    <row r="238" spans="1:4" x14ac:dyDescent="0.35">
      <c r="A238">
        <f>VLOOKUP(B238,'[1]Dane municipios'!$B$199:$C$321,2,0)</f>
        <v>15820</v>
      </c>
      <c r="B238" t="s">
        <v>181</v>
      </c>
      <c r="C238">
        <v>2023</v>
      </c>
      <c r="D238">
        <v>60.37</v>
      </c>
    </row>
    <row r="239" spans="1:4" x14ac:dyDescent="0.35">
      <c r="A239">
        <f>VLOOKUP(B239,'[1]Dane municipios'!$B$199:$C$321,2,0)</f>
        <v>15822</v>
      </c>
      <c r="B239" t="s">
        <v>111</v>
      </c>
      <c r="C239">
        <v>2023</v>
      </c>
      <c r="D239">
        <v>59.86</v>
      </c>
    </row>
    <row r="240" spans="1:4" x14ac:dyDescent="0.35">
      <c r="A240">
        <f>VLOOKUP(B240,'[1]Dane municipios'!$B$199:$C$321,2,0)</f>
        <v>15832</v>
      </c>
      <c r="B240" t="s">
        <v>182</v>
      </c>
      <c r="C240">
        <v>2023</v>
      </c>
      <c r="D240">
        <v>45.34</v>
      </c>
    </row>
    <row r="241" spans="1:4" x14ac:dyDescent="0.35">
      <c r="A241">
        <f>VLOOKUP(B241,'[1]Dane municipios'!$B$199:$C$321,2,0)</f>
        <v>15835</v>
      </c>
      <c r="B241" t="s">
        <v>183</v>
      </c>
      <c r="C241">
        <v>2023</v>
      </c>
      <c r="D241">
        <v>54.45</v>
      </c>
    </row>
    <row r="242" spans="1:4" x14ac:dyDescent="0.35">
      <c r="A242">
        <f>VLOOKUP(B242,'[1]Dane municipios'!$B$199:$C$321,2,0)</f>
        <v>15837</v>
      </c>
      <c r="B242" t="s">
        <v>112</v>
      </c>
      <c r="C242">
        <v>2023</v>
      </c>
      <c r="D242">
        <v>62.7</v>
      </c>
    </row>
    <row r="243" spans="1:4" x14ac:dyDescent="0.35">
      <c r="A243">
        <f>VLOOKUP(B243,'[1]Dane municipios'!$B$199:$C$321,2,0)</f>
        <v>15839</v>
      </c>
      <c r="B243" t="s">
        <v>184</v>
      </c>
      <c r="C243">
        <v>2023</v>
      </c>
      <c r="D243">
        <v>30.75</v>
      </c>
    </row>
    <row r="244" spans="1:4" x14ac:dyDescent="0.35">
      <c r="A244">
        <f>VLOOKUP(B244,'[1]Dane municipios'!$B$199:$C$321,2,0)</f>
        <v>15842</v>
      </c>
      <c r="B244" t="s">
        <v>185</v>
      </c>
      <c r="C244">
        <v>2023</v>
      </c>
      <c r="D244">
        <v>45.64</v>
      </c>
    </row>
    <row r="245" spans="1:4" x14ac:dyDescent="0.35">
      <c r="A245">
        <f>VLOOKUP(B245,'[1]Dane municipios'!$B$199:$C$321,2,0)</f>
        <v>15861</v>
      </c>
      <c r="B245" t="s">
        <v>113</v>
      </c>
      <c r="C245">
        <v>2023</v>
      </c>
      <c r="D245">
        <v>52.22</v>
      </c>
    </row>
    <row r="246" spans="1:4" x14ac:dyDescent="0.35">
      <c r="A246">
        <f>VLOOKUP(B246,'[1]Dane municipios'!$B$199:$C$321,2,0)</f>
        <v>15879</v>
      </c>
      <c r="B246" t="s">
        <v>186</v>
      </c>
      <c r="C246">
        <v>2023</v>
      </c>
      <c r="D246">
        <v>59.34</v>
      </c>
    </row>
    <row r="247" spans="1:4" x14ac:dyDescent="0.35">
      <c r="A247">
        <f>VLOOKUP(B247,'[1]Dane municipios'!$B$199:$C$321,2,0)</f>
        <v>15897</v>
      </c>
      <c r="B247" t="s">
        <v>114</v>
      </c>
      <c r="C247">
        <v>2023</v>
      </c>
      <c r="D247">
        <v>65.45</v>
      </c>
    </row>
    <row r="249" spans="1:4" x14ac:dyDescent="0.35">
      <c r="A249" t="s">
        <v>17</v>
      </c>
      <c r="B249" t="s">
        <v>35</v>
      </c>
    </row>
    <row r="250" spans="1:4" x14ac:dyDescent="0.35">
      <c r="A250" s="1" t="s">
        <v>2</v>
      </c>
      <c r="B250" t="s">
        <v>139</v>
      </c>
    </row>
    <row r="251" spans="1:4" x14ac:dyDescent="0.35">
      <c r="A251" s="1" t="s">
        <v>11</v>
      </c>
      <c r="B251" t="s">
        <v>140</v>
      </c>
    </row>
    <row r="252" spans="1:4" x14ac:dyDescent="0.35">
      <c r="A252" s="1" t="s">
        <v>13</v>
      </c>
      <c r="B252" t="s">
        <v>36</v>
      </c>
    </row>
    <row r="253" spans="1:4" x14ac:dyDescent="0.35">
      <c r="A253" s="1" t="s">
        <v>15</v>
      </c>
      <c r="B253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18A73-7BEA-4E45-BFC0-8887DF1A8C04}">
  <dimension ref="A1:G11"/>
  <sheetViews>
    <sheetView topLeftCell="A3" workbookViewId="0">
      <selection activeCell="B12" sqref="B12"/>
    </sheetView>
  </sheetViews>
  <sheetFormatPr baseColWidth="10" defaultRowHeight="14.5" x14ac:dyDescent="0.35"/>
  <cols>
    <col min="1" max="1" width="14.1796875" bestFit="1" customWidth="1"/>
    <col min="2" max="2" width="11.90625" bestFit="1" customWidth="1"/>
    <col min="3" max="3" width="18" bestFit="1" customWidth="1"/>
    <col min="4" max="4" width="14" bestFit="1" customWidth="1"/>
    <col min="5" max="5" width="18.1796875" bestFit="1" customWidth="1"/>
    <col min="6" max="6" width="12.36328125" bestFit="1" customWidth="1"/>
    <col min="7" max="7" width="11.81640625" bestFit="1" customWidth="1"/>
  </cols>
  <sheetData>
    <row r="1" spans="1:7" x14ac:dyDescent="0.35">
      <c r="A1" s="2" t="s">
        <v>40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</row>
    <row r="2" spans="1:7" x14ac:dyDescent="0.35">
      <c r="A2" s="3">
        <v>2022</v>
      </c>
      <c r="B2">
        <v>26</v>
      </c>
      <c r="C2">
        <v>36</v>
      </c>
      <c r="D2">
        <v>34</v>
      </c>
      <c r="E2">
        <v>26</v>
      </c>
      <c r="F2">
        <v>1</v>
      </c>
      <c r="G2">
        <v>123</v>
      </c>
    </row>
    <row r="3" spans="1:7" x14ac:dyDescent="0.35">
      <c r="A3" s="3">
        <v>2023</v>
      </c>
      <c r="B3">
        <v>26</v>
      </c>
      <c r="C3">
        <v>36</v>
      </c>
      <c r="D3">
        <v>34</v>
      </c>
      <c r="E3">
        <v>26</v>
      </c>
      <c r="F3">
        <v>1</v>
      </c>
      <c r="G3">
        <v>123</v>
      </c>
    </row>
    <row r="4" spans="1:7" x14ac:dyDescent="0.35">
      <c r="A4" s="6" t="s">
        <v>120</v>
      </c>
      <c r="B4" s="7">
        <v>52</v>
      </c>
      <c r="C4" s="7">
        <v>72</v>
      </c>
      <c r="D4" s="7">
        <v>68</v>
      </c>
      <c r="E4" s="7">
        <v>52</v>
      </c>
      <c r="F4" s="7">
        <v>2</v>
      </c>
      <c r="G4" s="7">
        <v>246</v>
      </c>
    </row>
    <row r="6" spans="1:7" x14ac:dyDescent="0.35">
      <c r="A6" s="1" t="s">
        <v>2</v>
      </c>
      <c r="B6" t="s">
        <v>123</v>
      </c>
    </row>
    <row r="7" spans="1:7" x14ac:dyDescent="0.35">
      <c r="A7" s="1" t="s">
        <v>11</v>
      </c>
      <c r="B7" t="s">
        <v>124</v>
      </c>
    </row>
    <row r="8" spans="1:7" x14ac:dyDescent="0.35">
      <c r="A8" s="1" t="s">
        <v>13</v>
      </c>
      <c r="B8" t="s">
        <v>121</v>
      </c>
    </row>
    <row r="9" spans="1:7" x14ac:dyDescent="0.35">
      <c r="A9" s="1" t="s">
        <v>15</v>
      </c>
      <c r="B9" t="s">
        <v>122</v>
      </c>
    </row>
    <row r="11" spans="1:7" x14ac:dyDescent="0.35">
      <c r="A11" s="1" t="s">
        <v>17</v>
      </c>
      <c r="B11" t="s">
        <v>134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3887A-848E-4A3F-BEAE-0FD585888254}">
  <dimension ref="A1:D253"/>
  <sheetViews>
    <sheetView topLeftCell="A223" workbookViewId="0">
      <selection activeCell="A2" sqref="A2:A247"/>
    </sheetView>
  </sheetViews>
  <sheetFormatPr baseColWidth="10" defaultRowHeight="14.5" x14ac:dyDescent="0.35"/>
  <cols>
    <col min="4" max="4" width="27.81640625" bestFit="1" customWidth="1"/>
  </cols>
  <sheetData>
    <row r="1" spans="1:4" x14ac:dyDescent="0.35">
      <c r="A1" s="4" t="s">
        <v>38</v>
      </c>
      <c r="B1" s="4" t="s">
        <v>39</v>
      </c>
      <c r="C1" s="5" t="s">
        <v>40</v>
      </c>
      <c r="D1" s="5" t="s">
        <v>125</v>
      </c>
    </row>
    <row r="2" spans="1:4" x14ac:dyDescent="0.35">
      <c r="A2">
        <f>VLOOKUP(B2,'[1]Dane municipios'!$B$199:$C$321,2,0)</f>
        <v>15001</v>
      </c>
      <c r="B2" t="s">
        <v>42</v>
      </c>
      <c r="C2">
        <v>2022</v>
      </c>
      <c r="D2" t="s">
        <v>115</v>
      </c>
    </row>
    <row r="3" spans="1:4" x14ac:dyDescent="0.35">
      <c r="A3">
        <f>VLOOKUP(B3,'[1]Dane municipios'!$B$199:$C$321,2,0)</f>
        <v>15022</v>
      </c>
      <c r="B3" t="s">
        <v>43</v>
      </c>
      <c r="C3">
        <v>2022</v>
      </c>
      <c r="D3" t="s">
        <v>118</v>
      </c>
    </row>
    <row r="4" spans="1:4" x14ac:dyDescent="0.35">
      <c r="A4">
        <f>VLOOKUP(B4,'[1]Dane municipios'!$B$199:$C$321,2,0)</f>
        <v>15047</v>
      </c>
      <c r="B4" t="s">
        <v>44</v>
      </c>
      <c r="C4">
        <v>2022</v>
      </c>
      <c r="D4" t="s">
        <v>116</v>
      </c>
    </row>
    <row r="5" spans="1:4" x14ac:dyDescent="0.35">
      <c r="A5">
        <f>VLOOKUP(B5,'[1]Dane municipios'!$B$199:$C$321,2,0)</f>
        <v>15051</v>
      </c>
      <c r="B5" t="s">
        <v>45</v>
      </c>
      <c r="C5">
        <v>2022</v>
      </c>
      <c r="D5" t="s">
        <v>116</v>
      </c>
    </row>
    <row r="6" spans="1:4" x14ac:dyDescent="0.35">
      <c r="A6">
        <f>VLOOKUP(B6,'[1]Dane municipios'!$B$199:$C$321,2,0)</f>
        <v>15087</v>
      </c>
      <c r="B6" t="s">
        <v>135</v>
      </c>
      <c r="C6">
        <v>2022</v>
      </c>
      <c r="D6" t="s">
        <v>116</v>
      </c>
    </row>
    <row r="7" spans="1:4" x14ac:dyDescent="0.35">
      <c r="A7">
        <f>VLOOKUP(B7,'[1]Dane municipios'!$B$199:$C$321,2,0)</f>
        <v>15090</v>
      </c>
      <c r="B7" t="s">
        <v>46</v>
      </c>
      <c r="C7">
        <v>2022</v>
      </c>
      <c r="D7" t="s">
        <v>116</v>
      </c>
    </row>
    <row r="8" spans="1:4" x14ac:dyDescent="0.35">
      <c r="A8">
        <f>VLOOKUP(B8,'[1]Dane municipios'!$B$199:$C$321,2,0)</f>
        <v>15092</v>
      </c>
      <c r="B8" t="s">
        <v>136</v>
      </c>
      <c r="C8">
        <v>2022</v>
      </c>
      <c r="D8" t="s">
        <v>118</v>
      </c>
    </row>
    <row r="9" spans="1:4" x14ac:dyDescent="0.35">
      <c r="A9">
        <f>VLOOKUP(B9,'[1]Dane municipios'!$B$199:$C$321,2,0)</f>
        <v>15097</v>
      </c>
      <c r="B9" t="s">
        <v>47</v>
      </c>
      <c r="C9">
        <v>2022</v>
      </c>
      <c r="D9" t="s">
        <v>117</v>
      </c>
    </row>
    <row r="10" spans="1:4" x14ac:dyDescent="0.35">
      <c r="A10">
        <f>VLOOKUP(B10,'[1]Dane municipios'!$B$199:$C$321,2,0)</f>
        <v>15104</v>
      </c>
      <c r="B10" t="s">
        <v>137</v>
      </c>
      <c r="C10">
        <v>2022</v>
      </c>
      <c r="D10" t="s">
        <v>116</v>
      </c>
    </row>
    <row r="11" spans="1:4" x14ac:dyDescent="0.35">
      <c r="A11">
        <f>VLOOKUP(B11,'[1]Dane municipios'!$B$199:$C$321,2,0)</f>
        <v>15106</v>
      </c>
      <c r="B11" t="s">
        <v>48</v>
      </c>
      <c r="C11">
        <v>2022</v>
      </c>
      <c r="D11" t="s">
        <v>116</v>
      </c>
    </row>
    <row r="12" spans="1:4" x14ac:dyDescent="0.35">
      <c r="A12">
        <f>VLOOKUP(B12,'[1]Dane municipios'!$B$199:$C$321,2,0)</f>
        <v>15109</v>
      </c>
      <c r="B12" t="s">
        <v>49</v>
      </c>
      <c r="C12">
        <v>2022</v>
      </c>
      <c r="D12" t="s">
        <v>118</v>
      </c>
    </row>
    <row r="13" spans="1:4" x14ac:dyDescent="0.35">
      <c r="A13">
        <f>VLOOKUP(B13,'[1]Dane municipios'!$B$199:$C$321,2,0)</f>
        <v>15114</v>
      </c>
      <c r="B13" t="s">
        <v>141</v>
      </c>
      <c r="C13">
        <v>2022</v>
      </c>
      <c r="D13" t="s">
        <v>115</v>
      </c>
    </row>
    <row r="14" spans="1:4" x14ac:dyDescent="0.35">
      <c r="A14">
        <f>VLOOKUP(B14,'[1]Dane municipios'!$B$199:$C$321,2,0)</f>
        <v>15131</v>
      </c>
      <c r="B14" t="s">
        <v>50</v>
      </c>
      <c r="C14">
        <v>2022</v>
      </c>
      <c r="D14" t="s">
        <v>117</v>
      </c>
    </row>
    <row r="15" spans="1:4" x14ac:dyDescent="0.35">
      <c r="A15">
        <f>VLOOKUP(B15,'[1]Dane municipios'!$B$199:$C$321,2,0)</f>
        <v>15135</v>
      </c>
      <c r="B15" t="s">
        <v>51</v>
      </c>
      <c r="C15">
        <v>2022</v>
      </c>
      <c r="D15" t="s">
        <v>115</v>
      </c>
    </row>
    <row r="16" spans="1:4" x14ac:dyDescent="0.35">
      <c r="A16">
        <f>VLOOKUP(B16,'[1]Dane municipios'!$B$199:$C$321,2,0)</f>
        <v>15162</v>
      </c>
      <c r="B16" t="s">
        <v>52</v>
      </c>
      <c r="C16">
        <v>2022</v>
      </c>
      <c r="D16" t="s">
        <v>117</v>
      </c>
    </row>
    <row r="17" spans="1:4" x14ac:dyDescent="0.35">
      <c r="A17">
        <f>VLOOKUP(B17,'[1]Dane municipios'!$B$199:$C$321,2,0)</f>
        <v>15172</v>
      </c>
      <c r="B17" t="s">
        <v>53</v>
      </c>
      <c r="C17">
        <v>2022</v>
      </c>
      <c r="D17" t="s">
        <v>117</v>
      </c>
    </row>
    <row r="18" spans="1:4" x14ac:dyDescent="0.35">
      <c r="A18">
        <f>VLOOKUP(B18,'[1]Dane municipios'!$B$199:$C$321,2,0)</f>
        <v>15176</v>
      </c>
      <c r="B18" t="s">
        <v>142</v>
      </c>
      <c r="C18">
        <v>2022</v>
      </c>
      <c r="D18" t="s">
        <v>115</v>
      </c>
    </row>
    <row r="19" spans="1:4" x14ac:dyDescent="0.35">
      <c r="A19">
        <f>VLOOKUP(B19,'[1]Dane municipios'!$B$199:$C$321,2,0)</f>
        <v>15180</v>
      </c>
      <c r="B19" t="s">
        <v>54</v>
      </c>
      <c r="C19">
        <v>2022</v>
      </c>
      <c r="D19" t="s">
        <v>118</v>
      </c>
    </row>
    <row r="20" spans="1:4" x14ac:dyDescent="0.35">
      <c r="A20">
        <f>VLOOKUP(B20,'[1]Dane municipios'!$B$199:$C$321,2,0)</f>
        <v>15183</v>
      </c>
      <c r="B20" t="s">
        <v>55</v>
      </c>
      <c r="C20">
        <v>2022</v>
      </c>
      <c r="D20" t="s">
        <v>118</v>
      </c>
    </row>
    <row r="21" spans="1:4" x14ac:dyDescent="0.35">
      <c r="A21">
        <f>VLOOKUP(B21,'[1]Dane municipios'!$B$199:$C$321,2,0)</f>
        <v>15185</v>
      </c>
      <c r="B21" t="s">
        <v>56</v>
      </c>
      <c r="C21">
        <v>2022</v>
      </c>
      <c r="D21" t="s">
        <v>118</v>
      </c>
    </row>
    <row r="22" spans="1:4" x14ac:dyDescent="0.35">
      <c r="A22">
        <f>VLOOKUP(B22,'[1]Dane municipios'!$B$199:$C$321,2,0)</f>
        <v>15187</v>
      </c>
      <c r="B22" t="s">
        <v>143</v>
      </c>
      <c r="C22">
        <v>2022</v>
      </c>
      <c r="D22" t="s">
        <v>116</v>
      </c>
    </row>
    <row r="23" spans="1:4" x14ac:dyDescent="0.35">
      <c r="A23">
        <f>VLOOKUP(B23,'[1]Dane municipios'!$B$199:$C$321,2,0)</f>
        <v>15189</v>
      </c>
      <c r="B23" t="s">
        <v>144</v>
      </c>
      <c r="C23">
        <v>2022</v>
      </c>
      <c r="D23" t="s">
        <v>117</v>
      </c>
    </row>
    <row r="24" spans="1:4" x14ac:dyDescent="0.35">
      <c r="A24">
        <f>VLOOKUP(B24,'[1]Dane municipios'!$B$199:$C$321,2,0)</f>
        <v>15204</v>
      </c>
      <c r="B24" t="s">
        <v>145</v>
      </c>
      <c r="C24">
        <v>2022</v>
      </c>
      <c r="D24" t="s">
        <v>117</v>
      </c>
    </row>
    <row r="25" spans="1:4" x14ac:dyDescent="0.35">
      <c r="A25">
        <f>VLOOKUP(B25,'[1]Dane municipios'!$B$199:$C$321,2,0)</f>
        <v>15212</v>
      </c>
      <c r="B25" t="s">
        <v>57</v>
      </c>
      <c r="C25">
        <v>2022</v>
      </c>
      <c r="D25" t="s">
        <v>118</v>
      </c>
    </row>
    <row r="26" spans="1:4" x14ac:dyDescent="0.35">
      <c r="A26">
        <f>VLOOKUP(B26,'[1]Dane municipios'!$B$199:$C$321,2,0)</f>
        <v>15215</v>
      </c>
      <c r="B26" t="s">
        <v>58</v>
      </c>
      <c r="C26">
        <v>2022</v>
      </c>
      <c r="D26" t="s">
        <v>115</v>
      </c>
    </row>
    <row r="27" spans="1:4" x14ac:dyDescent="0.35">
      <c r="A27">
        <f>VLOOKUP(B27,'[1]Dane municipios'!$B$199:$C$321,2,0)</f>
        <v>15218</v>
      </c>
      <c r="B27" t="s">
        <v>146</v>
      </c>
      <c r="C27">
        <v>2022</v>
      </c>
      <c r="D27" t="s">
        <v>117</v>
      </c>
    </row>
    <row r="28" spans="1:4" x14ac:dyDescent="0.35">
      <c r="A28">
        <f>VLOOKUP(B28,'[1]Dane municipios'!$B$199:$C$321,2,0)</f>
        <v>15223</v>
      </c>
      <c r="B28" t="s">
        <v>148</v>
      </c>
      <c r="C28">
        <v>2022</v>
      </c>
      <c r="D28" t="s">
        <v>118</v>
      </c>
    </row>
    <row r="29" spans="1:4" x14ac:dyDescent="0.35">
      <c r="A29">
        <f>VLOOKUP(B29,'[1]Dane municipios'!$B$199:$C$321,2,0)</f>
        <v>15224</v>
      </c>
      <c r="B29" t="s">
        <v>59</v>
      </c>
      <c r="C29">
        <v>2022</v>
      </c>
      <c r="D29" t="s">
        <v>116</v>
      </c>
    </row>
    <row r="30" spans="1:4" x14ac:dyDescent="0.35">
      <c r="A30">
        <f>VLOOKUP(B30,'[1]Dane municipios'!$B$199:$C$321,2,0)</f>
        <v>15226</v>
      </c>
      <c r="B30" t="s">
        <v>147</v>
      </c>
      <c r="C30">
        <v>2022</v>
      </c>
      <c r="D30" t="s">
        <v>117</v>
      </c>
    </row>
    <row r="31" spans="1:4" x14ac:dyDescent="0.35">
      <c r="A31">
        <f>VLOOKUP(B31,'[1]Dane municipios'!$B$199:$C$321,2,0)</f>
        <v>15232</v>
      </c>
      <c r="B31" t="s">
        <v>149</v>
      </c>
      <c r="C31">
        <v>2022</v>
      </c>
      <c r="D31" t="s">
        <v>117</v>
      </c>
    </row>
    <row r="32" spans="1:4" x14ac:dyDescent="0.35">
      <c r="A32">
        <f>VLOOKUP(B32,'[1]Dane municipios'!$B$199:$C$321,2,0)</f>
        <v>15236</v>
      </c>
      <c r="B32" t="s">
        <v>60</v>
      </c>
      <c r="C32">
        <v>2022</v>
      </c>
      <c r="D32" t="s">
        <v>117</v>
      </c>
    </row>
    <row r="33" spans="1:4" x14ac:dyDescent="0.35">
      <c r="A33">
        <f>VLOOKUP(B33,'[1]Dane municipios'!$B$199:$C$321,2,0)</f>
        <v>15238</v>
      </c>
      <c r="B33" t="s">
        <v>61</v>
      </c>
      <c r="C33">
        <v>2022</v>
      </c>
      <c r="D33" t="s">
        <v>115</v>
      </c>
    </row>
    <row r="34" spans="1:4" x14ac:dyDescent="0.35">
      <c r="A34">
        <f>VLOOKUP(B34,'[1]Dane municipios'!$B$199:$C$321,2,0)</f>
        <v>15244</v>
      </c>
      <c r="B34" t="s">
        <v>62</v>
      </c>
      <c r="C34">
        <v>2022</v>
      </c>
      <c r="D34" t="s">
        <v>117</v>
      </c>
    </row>
    <row r="35" spans="1:4" x14ac:dyDescent="0.35">
      <c r="A35">
        <f>VLOOKUP(B35,'[1]Dane municipios'!$B$199:$C$321,2,0)</f>
        <v>15248</v>
      </c>
      <c r="B35" t="s">
        <v>63</v>
      </c>
      <c r="C35">
        <v>2022</v>
      </c>
      <c r="D35" t="s">
        <v>117</v>
      </c>
    </row>
    <row r="36" spans="1:4" x14ac:dyDescent="0.35">
      <c r="A36">
        <f>VLOOKUP(B36,'[1]Dane municipios'!$B$199:$C$321,2,0)</f>
        <v>15272</v>
      </c>
      <c r="B36" t="s">
        <v>64</v>
      </c>
      <c r="C36">
        <v>2022</v>
      </c>
      <c r="D36" t="s">
        <v>116</v>
      </c>
    </row>
    <row r="37" spans="1:4" x14ac:dyDescent="0.35">
      <c r="A37">
        <f>VLOOKUP(B37,'[1]Dane municipios'!$B$199:$C$321,2,0)</f>
        <v>15276</v>
      </c>
      <c r="B37" t="s">
        <v>65</v>
      </c>
      <c r="C37">
        <v>2022</v>
      </c>
      <c r="D37" t="s">
        <v>118</v>
      </c>
    </row>
    <row r="38" spans="1:4" x14ac:dyDescent="0.35">
      <c r="A38">
        <f>VLOOKUP(B38,'[1]Dane municipios'!$B$199:$C$321,2,0)</f>
        <v>15293</v>
      </c>
      <c r="B38" t="s">
        <v>150</v>
      </c>
      <c r="C38">
        <v>2022</v>
      </c>
      <c r="D38" t="s">
        <v>117</v>
      </c>
    </row>
    <row r="39" spans="1:4" x14ac:dyDescent="0.35">
      <c r="A39">
        <f>VLOOKUP(B39,'[1]Dane municipios'!$B$199:$C$321,2,0)</f>
        <v>15296</v>
      </c>
      <c r="B39" t="s">
        <v>151</v>
      </c>
      <c r="C39">
        <v>2022</v>
      </c>
      <c r="D39" t="s">
        <v>118</v>
      </c>
    </row>
    <row r="40" spans="1:4" x14ac:dyDescent="0.35">
      <c r="A40">
        <f>VLOOKUP(B40,'[1]Dane municipios'!$B$199:$C$321,2,0)</f>
        <v>15299</v>
      </c>
      <c r="B40" t="s">
        <v>66</v>
      </c>
      <c r="C40">
        <v>2022</v>
      </c>
      <c r="D40" t="s">
        <v>116</v>
      </c>
    </row>
    <row r="41" spans="1:4" x14ac:dyDescent="0.35">
      <c r="A41">
        <f>VLOOKUP(B41,'[1]Dane municipios'!$B$199:$C$321,2,0)</f>
        <v>15317</v>
      </c>
      <c r="B41" t="s">
        <v>67</v>
      </c>
      <c r="C41">
        <v>2022</v>
      </c>
      <c r="D41" t="s">
        <v>118</v>
      </c>
    </row>
    <row r="42" spans="1:4" x14ac:dyDescent="0.35">
      <c r="A42">
        <f>VLOOKUP(B42,'[1]Dane municipios'!$B$199:$C$321,2,0)</f>
        <v>15322</v>
      </c>
      <c r="B42" t="s">
        <v>68</v>
      </c>
      <c r="C42">
        <v>2022</v>
      </c>
      <c r="D42" t="s">
        <v>116</v>
      </c>
    </row>
    <row r="43" spans="1:4" x14ac:dyDescent="0.35">
      <c r="A43">
        <f>VLOOKUP(B43,'[1]Dane municipios'!$B$199:$C$321,2,0)</f>
        <v>15325</v>
      </c>
      <c r="B43" t="s">
        <v>152</v>
      </c>
      <c r="C43">
        <v>2022</v>
      </c>
      <c r="D43" t="s">
        <v>116</v>
      </c>
    </row>
    <row r="44" spans="1:4" x14ac:dyDescent="0.35">
      <c r="A44">
        <f>VLOOKUP(B44,'[1]Dane municipios'!$B$199:$C$321,2,0)</f>
        <v>15332</v>
      </c>
      <c r="B44" t="s">
        <v>153</v>
      </c>
      <c r="C44">
        <v>2022</v>
      </c>
      <c r="D44" t="s">
        <v>118</v>
      </c>
    </row>
    <row r="45" spans="1:4" x14ac:dyDescent="0.35">
      <c r="A45">
        <f>VLOOKUP(B45,'[1]Dane municipios'!$B$199:$C$321,2,0)</f>
        <v>15362</v>
      </c>
      <c r="B45" t="s">
        <v>69</v>
      </c>
      <c r="C45">
        <v>2022</v>
      </c>
      <c r="D45" t="s">
        <v>115</v>
      </c>
    </row>
    <row r="46" spans="1:4" x14ac:dyDescent="0.35">
      <c r="A46">
        <f>VLOOKUP(B46,'[1]Dane municipios'!$B$199:$C$321,2,0)</f>
        <v>15367</v>
      </c>
      <c r="B46" t="s">
        <v>70</v>
      </c>
      <c r="C46">
        <v>2022</v>
      </c>
      <c r="D46" t="s">
        <v>115</v>
      </c>
    </row>
    <row r="47" spans="1:4" x14ac:dyDescent="0.35">
      <c r="A47">
        <f>VLOOKUP(B47,'[1]Dane municipios'!$B$199:$C$321,2,0)</f>
        <v>15368</v>
      </c>
      <c r="B47" t="s">
        <v>154</v>
      </c>
      <c r="C47">
        <v>2022</v>
      </c>
      <c r="D47" t="s">
        <v>117</v>
      </c>
    </row>
    <row r="48" spans="1:4" x14ac:dyDescent="0.35">
      <c r="A48">
        <f>VLOOKUP(B48,'[1]Dane municipios'!$B$199:$C$321,2,0)</f>
        <v>15377</v>
      </c>
      <c r="B48" t="s">
        <v>71</v>
      </c>
      <c r="C48">
        <v>2022</v>
      </c>
      <c r="D48" t="s">
        <v>117</v>
      </c>
    </row>
    <row r="49" spans="1:4" x14ac:dyDescent="0.35">
      <c r="A49">
        <f>VLOOKUP(B49,'[1]Dane municipios'!$B$199:$C$321,2,0)</f>
        <v>15380</v>
      </c>
      <c r="B49" t="s">
        <v>72</v>
      </c>
      <c r="C49">
        <v>2022</v>
      </c>
      <c r="D49" t="s">
        <v>116</v>
      </c>
    </row>
    <row r="50" spans="1:4" x14ac:dyDescent="0.35">
      <c r="A50">
        <f>VLOOKUP(B50,'[1]Dane municipios'!$B$199:$C$321,2,0)</f>
        <v>15401</v>
      </c>
      <c r="B50" t="s">
        <v>73</v>
      </c>
      <c r="C50">
        <v>2022</v>
      </c>
      <c r="D50" t="s">
        <v>116</v>
      </c>
    </row>
    <row r="51" spans="1:4" x14ac:dyDescent="0.35">
      <c r="A51">
        <f>VLOOKUP(B51,'[1]Dane municipios'!$B$199:$C$321,2,0)</f>
        <v>15403</v>
      </c>
      <c r="B51" t="s">
        <v>74</v>
      </c>
      <c r="C51">
        <v>2022</v>
      </c>
      <c r="D51" t="s">
        <v>117</v>
      </c>
    </row>
    <row r="52" spans="1:4" x14ac:dyDescent="0.35">
      <c r="A52">
        <f>VLOOKUP(B52,'[1]Dane municipios'!$B$199:$C$321,2,0)</f>
        <v>15407</v>
      </c>
      <c r="B52" t="s">
        <v>75</v>
      </c>
      <c r="C52">
        <v>2022</v>
      </c>
      <c r="D52" t="s">
        <v>115</v>
      </c>
    </row>
    <row r="53" spans="1:4" x14ac:dyDescent="0.35">
      <c r="A53">
        <f>VLOOKUP(B53,'[1]Dane municipios'!$B$199:$C$321,2,0)</f>
        <v>15425</v>
      </c>
      <c r="B53" t="s">
        <v>76</v>
      </c>
      <c r="C53">
        <v>2022</v>
      </c>
      <c r="D53" t="s">
        <v>116</v>
      </c>
    </row>
    <row r="54" spans="1:4" x14ac:dyDescent="0.35">
      <c r="A54">
        <f>VLOOKUP(B54,'[1]Dane municipios'!$B$199:$C$321,2,0)</f>
        <v>15442</v>
      </c>
      <c r="B54" t="s">
        <v>155</v>
      </c>
      <c r="C54">
        <v>2022</v>
      </c>
      <c r="D54" t="s">
        <v>118</v>
      </c>
    </row>
    <row r="55" spans="1:4" x14ac:dyDescent="0.35">
      <c r="A55">
        <f>VLOOKUP(B55,'[1]Dane municipios'!$B$199:$C$321,2,0)</f>
        <v>15455</v>
      </c>
      <c r="B55" t="s">
        <v>77</v>
      </c>
      <c r="C55">
        <v>2022</v>
      </c>
      <c r="D55" t="s">
        <v>115</v>
      </c>
    </row>
    <row r="56" spans="1:4" x14ac:dyDescent="0.35">
      <c r="A56">
        <f>VLOOKUP(B56,'[1]Dane municipios'!$B$199:$C$321,2,0)</f>
        <v>15464</v>
      </c>
      <c r="B56" t="s">
        <v>78</v>
      </c>
      <c r="C56">
        <v>2022</v>
      </c>
      <c r="D56" t="s">
        <v>118</v>
      </c>
    </row>
    <row r="57" spans="1:4" x14ac:dyDescent="0.35">
      <c r="A57">
        <f>VLOOKUP(B57,'[1]Dane municipios'!$B$199:$C$321,2,0)</f>
        <v>15466</v>
      </c>
      <c r="B57" t="s">
        <v>156</v>
      </c>
      <c r="C57">
        <v>2022</v>
      </c>
      <c r="D57" t="s">
        <v>117</v>
      </c>
    </row>
    <row r="58" spans="1:4" x14ac:dyDescent="0.35">
      <c r="A58">
        <f>VLOOKUP(B58,'[1]Dane municipios'!$B$199:$C$321,2,0)</f>
        <v>15469</v>
      </c>
      <c r="B58" t="s">
        <v>157</v>
      </c>
      <c r="C58">
        <v>2022</v>
      </c>
      <c r="D58" t="s">
        <v>116</v>
      </c>
    </row>
    <row r="59" spans="1:4" x14ac:dyDescent="0.35">
      <c r="A59">
        <f>VLOOKUP(B59,'[1]Dane municipios'!$B$199:$C$321,2,0)</f>
        <v>15476</v>
      </c>
      <c r="B59" t="s">
        <v>79</v>
      </c>
      <c r="C59">
        <v>2022</v>
      </c>
      <c r="D59" t="s">
        <v>117</v>
      </c>
    </row>
    <row r="60" spans="1:4" x14ac:dyDescent="0.35">
      <c r="A60">
        <f>VLOOKUP(B60,'[1]Dane municipios'!$B$199:$C$321,2,0)</f>
        <v>15480</v>
      </c>
      <c r="B60" t="s">
        <v>80</v>
      </c>
      <c r="C60">
        <v>2022</v>
      </c>
      <c r="D60" t="s">
        <v>116</v>
      </c>
    </row>
    <row r="61" spans="1:4" x14ac:dyDescent="0.35">
      <c r="A61">
        <f>VLOOKUP(B61,'[1]Dane municipios'!$B$199:$C$321,2,0)</f>
        <v>15491</v>
      </c>
      <c r="B61" t="s">
        <v>81</v>
      </c>
      <c r="C61">
        <v>2022</v>
      </c>
      <c r="D61" t="s">
        <v>115</v>
      </c>
    </row>
    <row r="62" spans="1:4" x14ac:dyDescent="0.35">
      <c r="A62">
        <f>VLOOKUP(B62,'[1]Dane municipios'!$B$199:$C$321,2,0)</f>
        <v>15494</v>
      </c>
      <c r="B62" t="s">
        <v>158</v>
      </c>
      <c r="C62">
        <v>2022</v>
      </c>
      <c r="D62" t="s">
        <v>116</v>
      </c>
    </row>
    <row r="63" spans="1:4" x14ac:dyDescent="0.35">
      <c r="A63">
        <f>VLOOKUP(B63,'[1]Dane municipios'!$B$199:$C$321,2,0)</f>
        <v>15500</v>
      </c>
      <c r="B63" t="s">
        <v>159</v>
      </c>
      <c r="C63">
        <v>2022</v>
      </c>
      <c r="D63" t="s">
        <v>115</v>
      </c>
    </row>
    <row r="64" spans="1:4" x14ac:dyDescent="0.35">
      <c r="A64">
        <f>VLOOKUP(B64,'[1]Dane municipios'!$B$199:$C$321,2,0)</f>
        <v>15507</v>
      </c>
      <c r="B64" t="s">
        <v>82</v>
      </c>
      <c r="C64">
        <v>2022</v>
      </c>
      <c r="D64" t="s">
        <v>115</v>
      </c>
    </row>
    <row r="65" spans="1:4" x14ac:dyDescent="0.35">
      <c r="A65">
        <f>VLOOKUP(B65,'[1]Dane municipios'!$B$199:$C$321,2,0)</f>
        <v>15511</v>
      </c>
      <c r="B65" t="s">
        <v>83</v>
      </c>
      <c r="C65">
        <v>2022</v>
      </c>
      <c r="D65" t="s">
        <v>116</v>
      </c>
    </row>
    <row r="66" spans="1:4" x14ac:dyDescent="0.35">
      <c r="A66">
        <f>VLOOKUP(B66,'[1]Dane municipios'!$B$199:$C$321,2,0)</f>
        <v>15514</v>
      </c>
      <c r="B66" t="s">
        <v>160</v>
      </c>
      <c r="C66">
        <v>2022</v>
      </c>
      <c r="D66" t="s">
        <v>115</v>
      </c>
    </row>
    <row r="67" spans="1:4" x14ac:dyDescent="0.35">
      <c r="A67">
        <f>VLOOKUP(B67,'[1]Dane municipios'!$B$199:$C$321,2,0)</f>
        <v>15516</v>
      </c>
      <c r="B67" t="s">
        <v>84</v>
      </c>
      <c r="C67">
        <v>2022</v>
      </c>
      <c r="D67" t="s">
        <v>115</v>
      </c>
    </row>
    <row r="68" spans="1:4" x14ac:dyDescent="0.35">
      <c r="A68">
        <f>VLOOKUP(B68,'[1]Dane municipios'!$B$199:$C$321,2,0)</f>
        <v>15518</v>
      </c>
      <c r="B68" t="s">
        <v>85</v>
      </c>
      <c r="C68">
        <v>2022</v>
      </c>
      <c r="D68" t="s">
        <v>116</v>
      </c>
    </row>
    <row r="69" spans="1:4" x14ac:dyDescent="0.35">
      <c r="A69">
        <f>VLOOKUP(B69,'[1]Dane municipios'!$B$199:$C$321,2,0)</f>
        <v>15522</v>
      </c>
      <c r="B69" t="s">
        <v>86</v>
      </c>
      <c r="C69">
        <v>2022</v>
      </c>
      <c r="D69" t="s">
        <v>117</v>
      </c>
    </row>
    <row r="70" spans="1:4" x14ac:dyDescent="0.35">
      <c r="A70">
        <f>VLOOKUP(B70,'[1]Dane municipios'!$B$199:$C$321,2,0)</f>
        <v>15531</v>
      </c>
      <c r="B70" t="s">
        <v>87</v>
      </c>
      <c r="C70">
        <v>2022</v>
      </c>
      <c r="D70" t="s">
        <v>117</v>
      </c>
    </row>
    <row r="71" spans="1:4" x14ac:dyDescent="0.35">
      <c r="A71">
        <f>VLOOKUP(B71,'[1]Dane municipios'!$B$199:$C$321,2,0)</f>
        <v>15533</v>
      </c>
      <c r="B71" t="s">
        <v>88</v>
      </c>
      <c r="C71">
        <v>2022</v>
      </c>
      <c r="D71" t="s">
        <v>118</v>
      </c>
    </row>
    <row r="72" spans="1:4" x14ac:dyDescent="0.35">
      <c r="A72">
        <f>VLOOKUP(B72,'[1]Dane municipios'!$B$199:$C$321,2,0)</f>
        <v>15537</v>
      </c>
      <c r="B72" t="s">
        <v>161</v>
      </c>
      <c r="C72">
        <v>2022</v>
      </c>
      <c r="D72" t="s">
        <v>116</v>
      </c>
    </row>
    <row r="73" spans="1:4" x14ac:dyDescent="0.35">
      <c r="A73">
        <f>VLOOKUP(B73,'[1]Dane municipios'!$B$199:$C$321,2,0)</f>
        <v>15542</v>
      </c>
      <c r="B73" t="s">
        <v>89</v>
      </c>
      <c r="C73">
        <v>2022</v>
      </c>
      <c r="D73" t="s">
        <v>118</v>
      </c>
    </row>
    <row r="74" spans="1:4" x14ac:dyDescent="0.35">
      <c r="A74">
        <f>VLOOKUP(B74,'[1]Dane municipios'!$B$199:$C$321,2,0)</f>
        <v>15550</v>
      </c>
      <c r="B74" t="s">
        <v>90</v>
      </c>
      <c r="C74">
        <v>2022</v>
      </c>
      <c r="D74" t="s">
        <v>116</v>
      </c>
    </row>
    <row r="75" spans="1:4" x14ac:dyDescent="0.35">
      <c r="A75">
        <f>VLOOKUP(B75,'[1]Dane municipios'!$B$199:$C$321,2,0)</f>
        <v>15572</v>
      </c>
      <c r="B75" t="s">
        <v>138</v>
      </c>
      <c r="C75">
        <v>2022</v>
      </c>
      <c r="D75" t="s">
        <v>115</v>
      </c>
    </row>
    <row r="76" spans="1:4" x14ac:dyDescent="0.35">
      <c r="A76">
        <f>VLOOKUP(B76,'[1]Dane municipios'!$B$199:$C$321,2,0)</f>
        <v>15580</v>
      </c>
      <c r="B76" t="s">
        <v>162</v>
      </c>
      <c r="C76">
        <v>2022</v>
      </c>
      <c r="D76" t="s">
        <v>117</v>
      </c>
    </row>
    <row r="77" spans="1:4" x14ac:dyDescent="0.35">
      <c r="A77">
        <f>VLOOKUP(B77,'[1]Dane municipios'!$B$199:$C$321,2,0)</f>
        <v>15599</v>
      </c>
      <c r="B77" t="s">
        <v>163</v>
      </c>
      <c r="C77">
        <v>2022</v>
      </c>
      <c r="D77" t="s">
        <v>115</v>
      </c>
    </row>
    <row r="78" spans="1:4" x14ac:dyDescent="0.35">
      <c r="A78">
        <f>VLOOKUP(B78,'[1]Dane municipios'!$B$199:$C$321,2,0)</f>
        <v>15600</v>
      </c>
      <c r="B78" t="s">
        <v>164</v>
      </c>
      <c r="C78">
        <v>2022</v>
      </c>
      <c r="D78" t="s">
        <v>117</v>
      </c>
    </row>
    <row r="79" spans="1:4" x14ac:dyDescent="0.35">
      <c r="A79">
        <f>VLOOKUP(B79,'[1]Dane municipios'!$B$199:$C$321,2,0)</f>
        <v>15621</v>
      </c>
      <c r="B79" t="s">
        <v>165</v>
      </c>
      <c r="C79">
        <v>2022</v>
      </c>
      <c r="D79" t="s">
        <v>118</v>
      </c>
    </row>
    <row r="80" spans="1:4" x14ac:dyDescent="0.35">
      <c r="A80">
        <f>VLOOKUP(B80,'[1]Dane municipios'!$B$199:$C$321,2,0)</f>
        <v>15632</v>
      </c>
      <c r="B80" t="s">
        <v>166</v>
      </c>
      <c r="C80">
        <v>2022</v>
      </c>
      <c r="D80" t="s">
        <v>117</v>
      </c>
    </row>
    <row r="81" spans="1:4" x14ac:dyDescent="0.35">
      <c r="A81">
        <f>VLOOKUP(B81,'[1]Dane municipios'!$B$199:$C$321,2,0)</f>
        <v>15638</v>
      </c>
      <c r="B81" t="s">
        <v>167</v>
      </c>
      <c r="C81">
        <v>2022</v>
      </c>
      <c r="D81" t="s">
        <v>115</v>
      </c>
    </row>
    <row r="82" spans="1:4" x14ac:dyDescent="0.35">
      <c r="A82">
        <f>VLOOKUP(B82,'[1]Dane municipios'!$B$199:$C$321,2,0)</f>
        <v>15646</v>
      </c>
      <c r="B82" t="s">
        <v>168</v>
      </c>
      <c r="C82">
        <v>2022</v>
      </c>
      <c r="D82" t="s">
        <v>115</v>
      </c>
    </row>
    <row r="83" spans="1:4" x14ac:dyDescent="0.35">
      <c r="A83">
        <f>VLOOKUP(B83,'[1]Dane municipios'!$B$199:$C$321,2,0)</f>
        <v>15660</v>
      </c>
      <c r="B83" t="s">
        <v>91</v>
      </c>
      <c r="C83">
        <v>2022</v>
      </c>
      <c r="D83" t="s">
        <v>116</v>
      </c>
    </row>
    <row r="84" spans="1:4" x14ac:dyDescent="0.35">
      <c r="A84">
        <f>VLOOKUP(B84,'[1]Dane municipios'!$B$199:$C$321,2,0)</f>
        <v>15664</v>
      </c>
      <c r="B84" t="s">
        <v>169</v>
      </c>
      <c r="C84">
        <v>2022</v>
      </c>
      <c r="D84" t="s">
        <v>117</v>
      </c>
    </row>
    <row r="85" spans="1:4" x14ac:dyDescent="0.35">
      <c r="A85">
        <f>VLOOKUP(B85,'[1]Dane municipios'!$B$199:$C$321,2,0)</f>
        <v>15667</v>
      </c>
      <c r="B85" t="s">
        <v>92</v>
      </c>
      <c r="C85">
        <v>2022</v>
      </c>
      <c r="D85" t="s">
        <v>116</v>
      </c>
    </row>
    <row r="86" spans="1:4" x14ac:dyDescent="0.35">
      <c r="A86">
        <f>VLOOKUP(B86,'[1]Dane municipios'!$B$199:$C$321,2,0)</f>
        <v>15673</v>
      </c>
      <c r="B86" t="s">
        <v>93</v>
      </c>
      <c r="C86">
        <v>2022</v>
      </c>
      <c r="D86" t="s">
        <v>117</v>
      </c>
    </row>
    <row r="87" spans="1:4" x14ac:dyDescent="0.35">
      <c r="A87">
        <f>VLOOKUP(B87,'[1]Dane municipios'!$B$199:$C$321,2,0)</f>
        <v>15676</v>
      </c>
      <c r="B87" t="s">
        <v>94</v>
      </c>
      <c r="C87">
        <v>2022</v>
      </c>
      <c r="D87" t="s">
        <v>116</v>
      </c>
    </row>
    <row r="88" spans="1:4" x14ac:dyDescent="0.35">
      <c r="A88">
        <f>VLOOKUP(B88,'[1]Dane municipios'!$B$199:$C$321,2,0)</f>
        <v>15681</v>
      </c>
      <c r="B88" t="s">
        <v>95</v>
      </c>
      <c r="C88">
        <v>2022</v>
      </c>
      <c r="D88" t="s">
        <v>118</v>
      </c>
    </row>
    <row r="89" spans="1:4" x14ac:dyDescent="0.35">
      <c r="A89">
        <f>VLOOKUP(B89,'[1]Dane municipios'!$B$199:$C$321,2,0)</f>
        <v>15686</v>
      </c>
      <c r="B89" t="s">
        <v>96</v>
      </c>
      <c r="C89">
        <v>2022</v>
      </c>
      <c r="D89" t="s">
        <v>117</v>
      </c>
    </row>
    <row r="90" spans="1:4" x14ac:dyDescent="0.35">
      <c r="A90">
        <f>VLOOKUP(B90,'[1]Dane municipios'!$B$199:$C$321,2,0)</f>
        <v>15690</v>
      </c>
      <c r="B90" t="s">
        <v>170</v>
      </c>
      <c r="C90">
        <v>2022</v>
      </c>
      <c r="D90" t="s">
        <v>115</v>
      </c>
    </row>
    <row r="91" spans="1:4" x14ac:dyDescent="0.35">
      <c r="A91">
        <f>VLOOKUP(B91,'[1]Dane municipios'!$B$199:$C$321,2,0)</f>
        <v>15693</v>
      </c>
      <c r="B91" t="s">
        <v>97</v>
      </c>
      <c r="C91">
        <v>2022</v>
      </c>
      <c r="D91" t="s">
        <v>118</v>
      </c>
    </row>
    <row r="92" spans="1:4" x14ac:dyDescent="0.35">
      <c r="A92">
        <f>VLOOKUP(B92,'[1]Dane municipios'!$B$199:$C$321,2,0)</f>
        <v>15696</v>
      </c>
      <c r="B92" t="s">
        <v>171</v>
      </c>
      <c r="C92">
        <v>2022</v>
      </c>
      <c r="D92" t="s">
        <v>115</v>
      </c>
    </row>
    <row r="93" spans="1:4" x14ac:dyDescent="0.35">
      <c r="A93">
        <f>VLOOKUP(B93,'[1]Dane municipios'!$B$199:$C$321,2,0)</f>
        <v>15720</v>
      </c>
      <c r="B93" t="s">
        <v>98</v>
      </c>
      <c r="C93">
        <v>2022</v>
      </c>
      <c r="D93" t="s">
        <v>117</v>
      </c>
    </row>
    <row r="94" spans="1:4" x14ac:dyDescent="0.35">
      <c r="A94">
        <f>VLOOKUP(B94,'[1]Dane municipios'!$B$199:$C$321,2,0)</f>
        <v>15723</v>
      </c>
      <c r="B94" t="s">
        <v>99</v>
      </c>
      <c r="C94">
        <v>2022</v>
      </c>
      <c r="D94" t="s">
        <v>116</v>
      </c>
    </row>
    <row r="95" spans="1:4" x14ac:dyDescent="0.35">
      <c r="A95">
        <f>VLOOKUP(B95,'[1]Dane municipios'!$B$199:$C$321,2,0)</f>
        <v>15740</v>
      </c>
      <c r="B95" t="s">
        <v>100</v>
      </c>
      <c r="C95">
        <v>2022</v>
      </c>
      <c r="D95" t="s">
        <v>117</v>
      </c>
    </row>
    <row r="96" spans="1:4" x14ac:dyDescent="0.35">
      <c r="A96">
        <f>VLOOKUP(B96,'[1]Dane municipios'!$B$199:$C$321,2,0)</f>
        <v>15753</v>
      </c>
      <c r="B96" t="s">
        <v>172</v>
      </c>
      <c r="C96">
        <v>2022</v>
      </c>
      <c r="D96" t="s">
        <v>117</v>
      </c>
    </row>
    <row r="97" spans="1:4" x14ac:dyDescent="0.35">
      <c r="A97">
        <f>VLOOKUP(B97,'[1]Dane municipios'!$B$199:$C$321,2,0)</f>
        <v>15755</v>
      </c>
      <c r="B97" t="s">
        <v>173</v>
      </c>
      <c r="C97">
        <v>2022</v>
      </c>
      <c r="D97" t="s">
        <v>117</v>
      </c>
    </row>
    <row r="98" spans="1:4" x14ac:dyDescent="0.35">
      <c r="A98">
        <f>VLOOKUP(B98,'[1]Dane municipios'!$B$199:$C$321,2,0)</f>
        <v>15757</v>
      </c>
      <c r="B98" t="s">
        <v>101</v>
      </c>
      <c r="C98">
        <v>2022</v>
      </c>
      <c r="D98" t="s">
        <v>116</v>
      </c>
    </row>
    <row r="99" spans="1:4" x14ac:dyDescent="0.35">
      <c r="A99">
        <f>VLOOKUP(B99,'[1]Dane municipios'!$B$199:$C$321,2,0)</f>
        <v>15759</v>
      </c>
      <c r="B99" t="s">
        <v>102</v>
      </c>
      <c r="C99">
        <v>2022</v>
      </c>
      <c r="D99" t="s">
        <v>115</v>
      </c>
    </row>
    <row r="100" spans="1:4" x14ac:dyDescent="0.35">
      <c r="A100">
        <f>VLOOKUP(B100,'[1]Dane municipios'!$B$199:$C$321,2,0)</f>
        <v>15761</v>
      </c>
      <c r="B100" t="s">
        <v>103</v>
      </c>
      <c r="C100">
        <v>2022</v>
      </c>
      <c r="D100" t="s">
        <v>117</v>
      </c>
    </row>
    <row r="101" spans="1:4" x14ac:dyDescent="0.35">
      <c r="A101">
        <f>VLOOKUP(B101,'[1]Dane municipios'!$B$199:$C$321,2,0)</f>
        <v>15762</v>
      </c>
      <c r="B101" t="s">
        <v>104</v>
      </c>
      <c r="C101">
        <v>2022</v>
      </c>
      <c r="D101" t="s">
        <v>118</v>
      </c>
    </row>
    <row r="102" spans="1:4" x14ac:dyDescent="0.35">
      <c r="A102">
        <f>VLOOKUP(B102,'[1]Dane municipios'!$B$199:$C$321,2,0)</f>
        <v>15763</v>
      </c>
      <c r="B102" t="s">
        <v>174</v>
      </c>
      <c r="C102">
        <v>2022</v>
      </c>
      <c r="D102" t="s">
        <v>116</v>
      </c>
    </row>
    <row r="103" spans="1:4" x14ac:dyDescent="0.35">
      <c r="A103">
        <f>VLOOKUP(B103,'[1]Dane municipios'!$B$199:$C$321,2,0)</f>
        <v>15764</v>
      </c>
      <c r="B103" t="s">
        <v>175</v>
      </c>
      <c r="C103">
        <v>2022</v>
      </c>
      <c r="D103" t="s">
        <v>116</v>
      </c>
    </row>
    <row r="104" spans="1:4" x14ac:dyDescent="0.35">
      <c r="A104">
        <f>VLOOKUP(B104,'[1]Dane municipios'!$B$199:$C$321,2,0)</f>
        <v>15774</v>
      </c>
      <c r="B104" t="s">
        <v>176</v>
      </c>
      <c r="C104">
        <v>2022</v>
      </c>
      <c r="D104" t="s">
        <v>119</v>
      </c>
    </row>
    <row r="105" spans="1:4" x14ac:dyDescent="0.35">
      <c r="A105">
        <f>VLOOKUP(B105,'[1]Dane municipios'!$B$199:$C$321,2,0)</f>
        <v>15776</v>
      </c>
      <c r="B105" t="s">
        <v>177</v>
      </c>
      <c r="C105">
        <v>2022</v>
      </c>
      <c r="D105" t="s">
        <v>116</v>
      </c>
    </row>
    <row r="106" spans="1:4" x14ac:dyDescent="0.35">
      <c r="A106">
        <f>VLOOKUP(B106,'[1]Dane municipios'!$B$199:$C$321,2,0)</f>
        <v>15778</v>
      </c>
      <c r="B106" t="s">
        <v>105</v>
      </c>
      <c r="C106">
        <v>2022</v>
      </c>
      <c r="D106" t="s">
        <v>116</v>
      </c>
    </row>
    <row r="107" spans="1:4" x14ac:dyDescent="0.35">
      <c r="A107">
        <f>VLOOKUP(B107,'[1]Dane municipios'!$B$199:$C$321,2,0)</f>
        <v>15790</v>
      </c>
      <c r="B107" t="s">
        <v>106</v>
      </c>
      <c r="C107">
        <v>2022</v>
      </c>
      <c r="D107" t="s">
        <v>118</v>
      </c>
    </row>
    <row r="108" spans="1:4" x14ac:dyDescent="0.35">
      <c r="A108">
        <f>VLOOKUP(B108,'[1]Dane municipios'!$B$199:$C$321,2,0)</f>
        <v>15798</v>
      </c>
      <c r="B108" t="s">
        <v>107</v>
      </c>
      <c r="C108">
        <v>2022</v>
      </c>
      <c r="D108" t="s">
        <v>116</v>
      </c>
    </row>
    <row r="109" spans="1:4" x14ac:dyDescent="0.35">
      <c r="A109">
        <f>VLOOKUP(B109,'[1]Dane municipios'!$B$199:$C$321,2,0)</f>
        <v>15804</v>
      </c>
      <c r="B109" t="s">
        <v>178</v>
      </c>
      <c r="C109">
        <v>2022</v>
      </c>
      <c r="D109" t="s">
        <v>117</v>
      </c>
    </row>
    <row r="110" spans="1:4" x14ac:dyDescent="0.35">
      <c r="A110">
        <f>VLOOKUP(B110,'[1]Dane municipios'!$B$199:$C$321,2,0)</f>
        <v>15806</v>
      </c>
      <c r="B110" t="s">
        <v>108</v>
      </c>
      <c r="C110">
        <v>2022</v>
      </c>
      <c r="D110" t="s">
        <v>115</v>
      </c>
    </row>
    <row r="111" spans="1:4" x14ac:dyDescent="0.35">
      <c r="A111">
        <f>VLOOKUP(B111,'[1]Dane municipios'!$B$199:$C$321,2,0)</f>
        <v>15808</v>
      </c>
      <c r="B111" t="s">
        <v>179</v>
      </c>
      <c r="C111">
        <v>2022</v>
      </c>
      <c r="D111" t="s">
        <v>117</v>
      </c>
    </row>
    <row r="112" spans="1:4" x14ac:dyDescent="0.35">
      <c r="A112">
        <f>VLOOKUP(B112,'[1]Dane municipios'!$B$199:$C$321,2,0)</f>
        <v>15810</v>
      </c>
      <c r="B112" t="s">
        <v>109</v>
      </c>
      <c r="C112">
        <v>2022</v>
      </c>
      <c r="D112" t="s">
        <v>118</v>
      </c>
    </row>
    <row r="113" spans="1:4" x14ac:dyDescent="0.35">
      <c r="A113">
        <f>VLOOKUP(B113,'[1]Dane municipios'!$B$199:$C$321,2,0)</f>
        <v>15814</v>
      </c>
      <c r="B113" t="s">
        <v>110</v>
      </c>
      <c r="C113">
        <v>2022</v>
      </c>
      <c r="D113" t="s">
        <v>116</v>
      </c>
    </row>
    <row r="114" spans="1:4" x14ac:dyDescent="0.35">
      <c r="A114">
        <f>VLOOKUP(B114,'[1]Dane municipios'!$B$199:$C$321,2,0)</f>
        <v>15816</v>
      </c>
      <c r="B114" t="s">
        <v>180</v>
      </c>
      <c r="C114">
        <v>2022</v>
      </c>
      <c r="D114" t="s">
        <v>118</v>
      </c>
    </row>
    <row r="115" spans="1:4" x14ac:dyDescent="0.35">
      <c r="A115">
        <f>VLOOKUP(B115,'[1]Dane municipios'!$B$199:$C$321,2,0)</f>
        <v>15820</v>
      </c>
      <c r="B115" t="s">
        <v>181</v>
      </c>
      <c r="C115">
        <v>2022</v>
      </c>
      <c r="D115" t="s">
        <v>116</v>
      </c>
    </row>
    <row r="116" spans="1:4" x14ac:dyDescent="0.35">
      <c r="A116">
        <f>VLOOKUP(B116,'[1]Dane municipios'!$B$199:$C$321,2,0)</f>
        <v>15822</v>
      </c>
      <c r="B116" t="s">
        <v>111</v>
      </c>
      <c r="C116">
        <v>2022</v>
      </c>
      <c r="D116" t="s">
        <v>118</v>
      </c>
    </row>
    <row r="117" spans="1:4" x14ac:dyDescent="0.35">
      <c r="A117">
        <f>VLOOKUP(B117,'[1]Dane municipios'!$B$199:$C$321,2,0)</f>
        <v>15832</v>
      </c>
      <c r="B117" t="s">
        <v>182</v>
      </c>
      <c r="C117">
        <v>2022</v>
      </c>
      <c r="D117" t="s">
        <v>115</v>
      </c>
    </row>
    <row r="118" spans="1:4" x14ac:dyDescent="0.35">
      <c r="A118">
        <f>VLOOKUP(B118,'[1]Dane municipios'!$B$199:$C$321,2,0)</f>
        <v>15835</v>
      </c>
      <c r="B118" t="s">
        <v>183</v>
      </c>
      <c r="C118">
        <v>2022</v>
      </c>
      <c r="D118" t="s">
        <v>117</v>
      </c>
    </row>
    <row r="119" spans="1:4" x14ac:dyDescent="0.35">
      <c r="A119">
        <f>VLOOKUP(B119,'[1]Dane municipios'!$B$199:$C$321,2,0)</f>
        <v>15837</v>
      </c>
      <c r="B119" t="s">
        <v>112</v>
      </c>
      <c r="C119">
        <v>2022</v>
      </c>
      <c r="D119" t="s">
        <v>115</v>
      </c>
    </row>
    <row r="120" spans="1:4" x14ac:dyDescent="0.35">
      <c r="A120">
        <f>VLOOKUP(B120,'[1]Dane municipios'!$B$199:$C$321,2,0)</f>
        <v>15839</v>
      </c>
      <c r="B120" t="s">
        <v>184</v>
      </c>
      <c r="C120">
        <v>2022</v>
      </c>
      <c r="D120" t="s">
        <v>116</v>
      </c>
    </row>
    <row r="121" spans="1:4" x14ac:dyDescent="0.35">
      <c r="A121">
        <f>VLOOKUP(B121,'[1]Dane municipios'!$B$199:$C$321,2,0)</f>
        <v>15842</v>
      </c>
      <c r="B121" t="s">
        <v>185</v>
      </c>
      <c r="C121">
        <v>2022</v>
      </c>
      <c r="D121" t="s">
        <v>118</v>
      </c>
    </row>
    <row r="122" spans="1:4" x14ac:dyDescent="0.35">
      <c r="A122">
        <f>VLOOKUP(B122,'[1]Dane municipios'!$B$199:$C$321,2,0)</f>
        <v>15861</v>
      </c>
      <c r="B122" t="s">
        <v>113</v>
      </c>
      <c r="C122">
        <v>2022</v>
      </c>
      <c r="D122" t="s">
        <v>116</v>
      </c>
    </row>
    <row r="123" spans="1:4" x14ac:dyDescent="0.35">
      <c r="A123">
        <f>VLOOKUP(B123,'[1]Dane municipios'!$B$199:$C$321,2,0)</f>
        <v>15879</v>
      </c>
      <c r="B123" t="s">
        <v>186</v>
      </c>
      <c r="C123">
        <v>2022</v>
      </c>
      <c r="D123" t="s">
        <v>118</v>
      </c>
    </row>
    <row r="124" spans="1:4" x14ac:dyDescent="0.35">
      <c r="A124">
        <f>VLOOKUP(B124,'[1]Dane municipios'!$B$199:$C$321,2,0)</f>
        <v>15897</v>
      </c>
      <c r="B124" t="s">
        <v>114</v>
      </c>
      <c r="C124">
        <v>2022</v>
      </c>
      <c r="D124" t="s">
        <v>115</v>
      </c>
    </row>
    <row r="125" spans="1:4" x14ac:dyDescent="0.35">
      <c r="A125">
        <f>VLOOKUP(B125,'[1]Dane municipios'!$B$199:$C$321,2,0)</f>
        <v>15001</v>
      </c>
      <c r="B125" t="s">
        <v>42</v>
      </c>
      <c r="C125">
        <v>2023</v>
      </c>
      <c r="D125" t="s">
        <v>115</v>
      </c>
    </row>
    <row r="126" spans="1:4" x14ac:dyDescent="0.35">
      <c r="A126">
        <f>VLOOKUP(B126,'[1]Dane municipios'!$B$199:$C$321,2,0)</f>
        <v>15022</v>
      </c>
      <c r="B126" t="s">
        <v>43</v>
      </c>
      <c r="C126">
        <v>2023</v>
      </c>
      <c r="D126" t="s">
        <v>118</v>
      </c>
    </row>
    <row r="127" spans="1:4" x14ac:dyDescent="0.35">
      <c r="A127">
        <f>VLOOKUP(B127,'[1]Dane municipios'!$B$199:$C$321,2,0)</f>
        <v>15047</v>
      </c>
      <c r="B127" t="s">
        <v>44</v>
      </c>
      <c r="C127">
        <v>2023</v>
      </c>
      <c r="D127" t="s">
        <v>116</v>
      </c>
    </row>
    <row r="128" spans="1:4" x14ac:dyDescent="0.35">
      <c r="A128">
        <f>VLOOKUP(B128,'[1]Dane municipios'!$B$199:$C$321,2,0)</f>
        <v>15051</v>
      </c>
      <c r="B128" t="s">
        <v>45</v>
      </c>
      <c r="C128">
        <v>2023</v>
      </c>
      <c r="D128" t="s">
        <v>116</v>
      </c>
    </row>
    <row r="129" spans="1:4" x14ac:dyDescent="0.35">
      <c r="A129">
        <f>VLOOKUP(B129,'[1]Dane municipios'!$B$199:$C$321,2,0)</f>
        <v>15087</v>
      </c>
      <c r="B129" t="s">
        <v>135</v>
      </c>
      <c r="C129">
        <v>2023</v>
      </c>
      <c r="D129" t="s">
        <v>116</v>
      </c>
    </row>
    <row r="130" spans="1:4" x14ac:dyDescent="0.35">
      <c r="A130">
        <f>VLOOKUP(B130,'[1]Dane municipios'!$B$199:$C$321,2,0)</f>
        <v>15090</v>
      </c>
      <c r="B130" t="s">
        <v>46</v>
      </c>
      <c r="C130">
        <v>2023</v>
      </c>
      <c r="D130" t="s">
        <v>116</v>
      </c>
    </row>
    <row r="131" spans="1:4" x14ac:dyDescent="0.35">
      <c r="A131">
        <f>VLOOKUP(B131,'[1]Dane municipios'!$B$199:$C$321,2,0)</f>
        <v>15092</v>
      </c>
      <c r="B131" t="s">
        <v>136</v>
      </c>
      <c r="C131">
        <v>2023</v>
      </c>
      <c r="D131" t="s">
        <v>118</v>
      </c>
    </row>
    <row r="132" spans="1:4" x14ac:dyDescent="0.35">
      <c r="A132">
        <f>VLOOKUP(B132,'[1]Dane municipios'!$B$199:$C$321,2,0)</f>
        <v>15097</v>
      </c>
      <c r="B132" t="s">
        <v>47</v>
      </c>
      <c r="C132">
        <v>2023</v>
      </c>
      <c r="D132" t="s">
        <v>117</v>
      </c>
    </row>
    <row r="133" spans="1:4" x14ac:dyDescent="0.35">
      <c r="A133">
        <f>VLOOKUP(B133,'[1]Dane municipios'!$B$199:$C$321,2,0)</f>
        <v>15104</v>
      </c>
      <c r="B133" t="s">
        <v>137</v>
      </c>
      <c r="C133">
        <v>2023</v>
      </c>
      <c r="D133" t="s">
        <v>116</v>
      </c>
    </row>
    <row r="134" spans="1:4" x14ac:dyDescent="0.35">
      <c r="A134">
        <f>VLOOKUP(B134,'[1]Dane municipios'!$B$199:$C$321,2,0)</f>
        <v>15106</v>
      </c>
      <c r="B134" t="s">
        <v>48</v>
      </c>
      <c r="C134">
        <v>2023</v>
      </c>
      <c r="D134" t="s">
        <v>116</v>
      </c>
    </row>
    <row r="135" spans="1:4" x14ac:dyDescent="0.35">
      <c r="A135">
        <f>VLOOKUP(B135,'[1]Dane municipios'!$B$199:$C$321,2,0)</f>
        <v>15109</v>
      </c>
      <c r="B135" t="s">
        <v>49</v>
      </c>
      <c r="C135">
        <v>2023</v>
      </c>
      <c r="D135" t="s">
        <v>118</v>
      </c>
    </row>
    <row r="136" spans="1:4" x14ac:dyDescent="0.35">
      <c r="A136">
        <f>VLOOKUP(B136,'[1]Dane municipios'!$B$199:$C$321,2,0)</f>
        <v>15114</v>
      </c>
      <c r="B136" t="s">
        <v>141</v>
      </c>
      <c r="C136">
        <v>2023</v>
      </c>
      <c r="D136" t="s">
        <v>115</v>
      </c>
    </row>
    <row r="137" spans="1:4" x14ac:dyDescent="0.35">
      <c r="A137">
        <f>VLOOKUP(B137,'[1]Dane municipios'!$B$199:$C$321,2,0)</f>
        <v>15131</v>
      </c>
      <c r="B137" t="s">
        <v>50</v>
      </c>
      <c r="C137">
        <v>2023</v>
      </c>
      <c r="D137" t="s">
        <v>117</v>
      </c>
    </row>
    <row r="138" spans="1:4" x14ac:dyDescent="0.35">
      <c r="A138">
        <f>VLOOKUP(B138,'[1]Dane municipios'!$B$199:$C$321,2,0)</f>
        <v>15135</v>
      </c>
      <c r="B138" t="s">
        <v>51</v>
      </c>
      <c r="C138">
        <v>2023</v>
      </c>
      <c r="D138" t="s">
        <v>115</v>
      </c>
    </row>
    <row r="139" spans="1:4" x14ac:dyDescent="0.35">
      <c r="A139">
        <f>VLOOKUP(B139,'[1]Dane municipios'!$B$199:$C$321,2,0)</f>
        <v>15162</v>
      </c>
      <c r="B139" t="s">
        <v>52</v>
      </c>
      <c r="C139">
        <v>2023</v>
      </c>
      <c r="D139" t="s">
        <v>117</v>
      </c>
    </row>
    <row r="140" spans="1:4" x14ac:dyDescent="0.35">
      <c r="A140">
        <f>VLOOKUP(B140,'[1]Dane municipios'!$B$199:$C$321,2,0)</f>
        <v>15172</v>
      </c>
      <c r="B140" t="s">
        <v>53</v>
      </c>
      <c r="C140">
        <v>2023</v>
      </c>
      <c r="D140" t="s">
        <v>117</v>
      </c>
    </row>
    <row r="141" spans="1:4" x14ac:dyDescent="0.35">
      <c r="A141">
        <f>VLOOKUP(B141,'[1]Dane municipios'!$B$199:$C$321,2,0)</f>
        <v>15176</v>
      </c>
      <c r="B141" t="s">
        <v>142</v>
      </c>
      <c r="C141">
        <v>2023</v>
      </c>
      <c r="D141" t="s">
        <v>115</v>
      </c>
    </row>
    <row r="142" spans="1:4" x14ac:dyDescent="0.35">
      <c r="A142">
        <f>VLOOKUP(B142,'[1]Dane municipios'!$B$199:$C$321,2,0)</f>
        <v>15180</v>
      </c>
      <c r="B142" t="s">
        <v>54</v>
      </c>
      <c r="C142">
        <v>2023</v>
      </c>
      <c r="D142" t="s">
        <v>118</v>
      </c>
    </row>
    <row r="143" spans="1:4" x14ac:dyDescent="0.35">
      <c r="A143">
        <f>VLOOKUP(B143,'[1]Dane municipios'!$B$199:$C$321,2,0)</f>
        <v>15183</v>
      </c>
      <c r="B143" t="s">
        <v>55</v>
      </c>
      <c r="C143">
        <v>2023</v>
      </c>
      <c r="D143" t="s">
        <v>118</v>
      </c>
    </row>
    <row r="144" spans="1:4" x14ac:dyDescent="0.35">
      <c r="A144">
        <f>VLOOKUP(B144,'[1]Dane municipios'!$B$199:$C$321,2,0)</f>
        <v>15185</v>
      </c>
      <c r="B144" t="s">
        <v>56</v>
      </c>
      <c r="C144">
        <v>2023</v>
      </c>
      <c r="D144" t="s">
        <v>118</v>
      </c>
    </row>
    <row r="145" spans="1:4" x14ac:dyDescent="0.35">
      <c r="A145">
        <f>VLOOKUP(B145,'[1]Dane municipios'!$B$199:$C$321,2,0)</f>
        <v>15187</v>
      </c>
      <c r="B145" t="s">
        <v>143</v>
      </c>
      <c r="C145">
        <v>2023</v>
      </c>
      <c r="D145" t="s">
        <v>116</v>
      </c>
    </row>
    <row r="146" spans="1:4" x14ac:dyDescent="0.35">
      <c r="A146">
        <f>VLOOKUP(B146,'[1]Dane municipios'!$B$199:$C$321,2,0)</f>
        <v>15189</v>
      </c>
      <c r="B146" t="s">
        <v>144</v>
      </c>
      <c r="C146">
        <v>2023</v>
      </c>
      <c r="D146" t="s">
        <v>117</v>
      </c>
    </row>
    <row r="147" spans="1:4" x14ac:dyDescent="0.35">
      <c r="A147">
        <f>VLOOKUP(B147,'[1]Dane municipios'!$B$199:$C$321,2,0)</f>
        <v>15204</v>
      </c>
      <c r="B147" t="s">
        <v>145</v>
      </c>
      <c r="C147">
        <v>2023</v>
      </c>
      <c r="D147" t="s">
        <v>117</v>
      </c>
    </row>
    <row r="148" spans="1:4" x14ac:dyDescent="0.35">
      <c r="A148">
        <f>VLOOKUP(B148,'[1]Dane municipios'!$B$199:$C$321,2,0)</f>
        <v>15212</v>
      </c>
      <c r="B148" t="s">
        <v>57</v>
      </c>
      <c r="C148">
        <v>2023</v>
      </c>
      <c r="D148" t="s">
        <v>118</v>
      </c>
    </row>
    <row r="149" spans="1:4" x14ac:dyDescent="0.35">
      <c r="A149">
        <f>VLOOKUP(B149,'[1]Dane municipios'!$B$199:$C$321,2,0)</f>
        <v>15215</v>
      </c>
      <c r="B149" t="s">
        <v>58</v>
      </c>
      <c r="C149">
        <v>2023</v>
      </c>
      <c r="D149" t="s">
        <v>115</v>
      </c>
    </row>
    <row r="150" spans="1:4" x14ac:dyDescent="0.35">
      <c r="A150">
        <f>VLOOKUP(B150,'[1]Dane municipios'!$B$199:$C$321,2,0)</f>
        <v>15218</v>
      </c>
      <c r="B150" t="s">
        <v>146</v>
      </c>
      <c r="C150">
        <v>2023</v>
      </c>
      <c r="D150" t="s">
        <v>117</v>
      </c>
    </row>
    <row r="151" spans="1:4" x14ac:dyDescent="0.35">
      <c r="A151">
        <f>VLOOKUP(B151,'[1]Dane municipios'!$B$199:$C$321,2,0)</f>
        <v>15223</v>
      </c>
      <c r="B151" t="s">
        <v>148</v>
      </c>
      <c r="C151">
        <v>2023</v>
      </c>
      <c r="D151" t="s">
        <v>118</v>
      </c>
    </row>
    <row r="152" spans="1:4" x14ac:dyDescent="0.35">
      <c r="A152">
        <f>VLOOKUP(B152,'[1]Dane municipios'!$B$199:$C$321,2,0)</f>
        <v>15224</v>
      </c>
      <c r="B152" t="s">
        <v>59</v>
      </c>
      <c r="C152">
        <v>2023</v>
      </c>
      <c r="D152" t="s">
        <v>116</v>
      </c>
    </row>
    <row r="153" spans="1:4" x14ac:dyDescent="0.35">
      <c r="A153">
        <f>VLOOKUP(B153,'[1]Dane municipios'!$B$199:$C$321,2,0)</f>
        <v>15226</v>
      </c>
      <c r="B153" t="s">
        <v>147</v>
      </c>
      <c r="C153">
        <v>2023</v>
      </c>
      <c r="D153" t="s">
        <v>117</v>
      </c>
    </row>
    <row r="154" spans="1:4" x14ac:dyDescent="0.35">
      <c r="A154">
        <f>VLOOKUP(B154,'[1]Dane municipios'!$B$199:$C$321,2,0)</f>
        <v>15232</v>
      </c>
      <c r="B154" t="s">
        <v>149</v>
      </c>
      <c r="C154">
        <v>2023</v>
      </c>
      <c r="D154" t="s">
        <v>117</v>
      </c>
    </row>
    <row r="155" spans="1:4" x14ac:dyDescent="0.35">
      <c r="A155">
        <f>VLOOKUP(B155,'[1]Dane municipios'!$B$199:$C$321,2,0)</f>
        <v>15236</v>
      </c>
      <c r="B155" t="s">
        <v>60</v>
      </c>
      <c r="C155">
        <v>2023</v>
      </c>
      <c r="D155" t="s">
        <v>117</v>
      </c>
    </row>
    <row r="156" spans="1:4" x14ac:dyDescent="0.35">
      <c r="A156">
        <f>VLOOKUP(B156,'[1]Dane municipios'!$B$199:$C$321,2,0)</f>
        <v>15238</v>
      </c>
      <c r="B156" t="s">
        <v>61</v>
      </c>
      <c r="C156">
        <v>2023</v>
      </c>
      <c r="D156" t="s">
        <v>115</v>
      </c>
    </row>
    <row r="157" spans="1:4" x14ac:dyDescent="0.35">
      <c r="A157">
        <f>VLOOKUP(B157,'[1]Dane municipios'!$B$199:$C$321,2,0)</f>
        <v>15244</v>
      </c>
      <c r="B157" t="s">
        <v>62</v>
      </c>
      <c r="C157">
        <v>2023</v>
      </c>
      <c r="D157" t="s">
        <v>117</v>
      </c>
    </row>
    <row r="158" spans="1:4" x14ac:dyDescent="0.35">
      <c r="A158">
        <f>VLOOKUP(B158,'[1]Dane municipios'!$B$199:$C$321,2,0)</f>
        <v>15248</v>
      </c>
      <c r="B158" t="s">
        <v>63</v>
      </c>
      <c r="C158">
        <v>2023</v>
      </c>
      <c r="D158" t="s">
        <v>117</v>
      </c>
    </row>
    <row r="159" spans="1:4" x14ac:dyDescent="0.35">
      <c r="A159">
        <f>VLOOKUP(B159,'[1]Dane municipios'!$B$199:$C$321,2,0)</f>
        <v>15272</v>
      </c>
      <c r="B159" t="s">
        <v>64</v>
      </c>
      <c r="C159">
        <v>2023</v>
      </c>
      <c r="D159" t="s">
        <v>116</v>
      </c>
    </row>
    <row r="160" spans="1:4" x14ac:dyDescent="0.35">
      <c r="A160">
        <f>VLOOKUP(B160,'[1]Dane municipios'!$B$199:$C$321,2,0)</f>
        <v>15276</v>
      </c>
      <c r="B160" t="s">
        <v>65</v>
      </c>
      <c r="C160">
        <v>2023</v>
      </c>
      <c r="D160" t="s">
        <v>118</v>
      </c>
    </row>
    <row r="161" spans="1:4" x14ac:dyDescent="0.35">
      <c r="A161">
        <f>VLOOKUP(B161,'[1]Dane municipios'!$B$199:$C$321,2,0)</f>
        <v>15293</v>
      </c>
      <c r="B161" t="s">
        <v>150</v>
      </c>
      <c r="C161">
        <v>2023</v>
      </c>
      <c r="D161" t="s">
        <v>117</v>
      </c>
    </row>
    <row r="162" spans="1:4" x14ac:dyDescent="0.35">
      <c r="A162">
        <f>VLOOKUP(B162,'[1]Dane municipios'!$B$199:$C$321,2,0)</f>
        <v>15296</v>
      </c>
      <c r="B162" t="s">
        <v>151</v>
      </c>
      <c r="C162">
        <v>2023</v>
      </c>
      <c r="D162" t="s">
        <v>118</v>
      </c>
    </row>
    <row r="163" spans="1:4" x14ac:dyDescent="0.35">
      <c r="A163">
        <f>VLOOKUP(B163,'[1]Dane municipios'!$B$199:$C$321,2,0)</f>
        <v>15299</v>
      </c>
      <c r="B163" t="s">
        <v>66</v>
      </c>
      <c r="C163">
        <v>2023</v>
      </c>
      <c r="D163" t="s">
        <v>116</v>
      </c>
    </row>
    <row r="164" spans="1:4" x14ac:dyDescent="0.35">
      <c r="A164">
        <f>VLOOKUP(B164,'[1]Dane municipios'!$B$199:$C$321,2,0)</f>
        <v>15317</v>
      </c>
      <c r="B164" t="s">
        <v>67</v>
      </c>
      <c r="C164">
        <v>2023</v>
      </c>
      <c r="D164" t="s">
        <v>118</v>
      </c>
    </row>
    <row r="165" spans="1:4" x14ac:dyDescent="0.35">
      <c r="A165">
        <f>VLOOKUP(B165,'[1]Dane municipios'!$B$199:$C$321,2,0)</f>
        <v>15322</v>
      </c>
      <c r="B165" t="s">
        <v>68</v>
      </c>
      <c r="C165">
        <v>2023</v>
      </c>
      <c r="D165" t="s">
        <v>116</v>
      </c>
    </row>
    <row r="166" spans="1:4" x14ac:dyDescent="0.35">
      <c r="A166">
        <f>VLOOKUP(B166,'[1]Dane municipios'!$B$199:$C$321,2,0)</f>
        <v>15325</v>
      </c>
      <c r="B166" t="s">
        <v>152</v>
      </c>
      <c r="C166">
        <v>2023</v>
      </c>
      <c r="D166" t="s">
        <v>116</v>
      </c>
    </row>
    <row r="167" spans="1:4" x14ac:dyDescent="0.35">
      <c r="A167">
        <f>VLOOKUP(B167,'[1]Dane municipios'!$B$199:$C$321,2,0)</f>
        <v>15332</v>
      </c>
      <c r="B167" t="s">
        <v>153</v>
      </c>
      <c r="C167">
        <v>2023</v>
      </c>
      <c r="D167" t="s">
        <v>118</v>
      </c>
    </row>
    <row r="168" spans="1:4" x14ac:dyDescent="0.35">
      <c r="A168">
        <f>VLOOKUP(B168,'[1]Dane municipios'!$B$199:$C$321,2,0)</f>
        <v>15362</v>
      </c>
      <c r="B168" t="s">
        <v>69</v>
      </c>
      <c r="C168">
        <v>2023</v>
      </c>
      <c r="D168" t="s">
        <v>115</v>
      </c>
    </row>
    <row r="169" spans="1:4" x14ac:dyDescent="0.35">
      <c r="A169">
        <f>VLOOKUP(B169,'[1]Dane municipios'!$B$199:$C$321,2,0)</f>
        <v>15367</v>
      </c>
      <c r="B169" t="s">
        <v>70</v>
      </c>
      <c r="C169">
        <v>2023</v>
      </c>
      <c r="D169" t="s">
        <v>115</v>
      </c>
    </row>
    <row r="170" spans="1:4" x14ac:dyDescent="0.35">
      <c r="A170">
        <f>VLOOKUP(B170,'[1]Dane municipios'!$B$199:$C$321,2,0)</f>
        <v>15368</v>
      </c>
      <c r="B170" t="s">
        <v>154</v>
      </c>
      <c r="C170">
        <v>2023</v>
      </c>
      <c r="D170" t="s">
        <v>117</v>
      </c>
    </row>
    <row r="171" spans="1:4" x14ac:dyDescent="0.35">
      <c r="A171">
        <f>VLOOKUP(B171,'[1]Dane municipios'!$B$199:$C$321,2,0)</f>
        <v>15377</v>
      </c>
      <c r="B171" t="s">
        <v>71</v>
      </c>
      <c r="C171">
        <v>2023</v>
      </c>
      <c r="D171" t="s">
        <v>117</v>
      </c>
    </row>
    <row r="172" spans="1:4" x14ac:dyDescent="0.35">
      <c r="A172">
        <f>VLOOKUP(B172,'[1]Dane municipios'!$B$199:$C$321,2,0)</f>
        <v>15380</v>
      </c>
      <c r="B172" t="s">
        <v>72</v>
      </c>
      <c r="C172">
        <v>2023</v>
      </c>
      <c r="D172" t="s">
        <v>116</v>
      </c>
    </row>
    <row r="173" spans="1:4" x14ac:dyDescent="0.35">
      <c r="A173">
        <f>VLOOKUP(B173,'[1]Dane municipios'!$B$199:$C$321,2,0)</f>
        <v>15401</v>
      </c>
      <c r="B173" t="s">
        <v>73</v>
      </c>
      <c r="C173">
        <v>2023</v>
      </c>
      <c r="D173" t="s">
        <v>116</v>
      </c>
    </row>
    <row r="174" spans="1:4" x14ac:dyDescent="0.35">
      <c r="A174">
        <f>VLOOKUP(B174,'[1]Dane municipios'!$B$199:$C$321,2,0)</f>
        <v>15403</v>
      </c>
      <c r="B174" t="s">
        <v>74</v>
      </c>
      <c r="C174">
        <v>2023</v>
      </c>
      <c r="D174" t="s">
        <v>117</v>
      </c>
    </row>
    <row r="175" spans="1:4" x14ac:dyDescent="0.35">
      <c r="A175">
        <f>VLOOKUP(B175,'[1]Dane municipios'!$B$199:$C$321,2,0)</f>
        <v>15407</v>
      </c>
      <c r="B175" t="s">
        <v>75</v>
      </c>
      <c r="C175">
        <v>2023</v>
      </c>
      <c r="D175" t="s">
        <v>115</v>
      </c>
    </row>
    <row r="176" spans="1:4" x14ac:dyDescent="0.35">
      <c r="A176">
        <f>VLOOKUP(B176,'[1]Dane municipios'!$B$199:$C$321,2,0)</f>
        <v>15425</v>
      </c>
      <c r="B176" t="s">
        <v>76</v>
      </c>
      <c r="C176">
        <v>2023</v>
      </c>
      <c r="D176" t="s">
        <v>116</v>
      </c>
    </row>
    <row r="177" spans="1:4" x14ac:dyDescent="0.35">
      <c r="A177">
        <f>VLOOKUP(B177,'[1]Dane municipios'!$B$199:$C$321,2,0)</f>
        <v>15442</v>
      </c>
      <c r="B177" t="s">
        <v>155</v>
      </c>
      <c r="C177">
        <v>2023</v>
      </c>
      <c r="D177" t="s">
        <v>118</v>
      </c>
    </row>
    <row r="178" spans="1:4" x14ac:dyDescent="0.35">
      <c r="A178">
        <f>VLOOKUP(B178,'[1]Dane municipios'!$B$199:$C$321,2,0)</f>
        <v>15455</v>
      </c>
      <c r="B178" t="s">
        <v>77</v>
      </c>
      <c r="C178">
        <v>2023</v>
      </c>
      <c r="D178" t="s">
        <v>115</v>
      </c>
    </row>
    <row r="179" spans="1:4" x14ac:dyDescent="0.35">
      <c r="A179">
        <f>VLOOKUP(B179,'[1]Dane municipios'!$B$199:$C$321,2,0)</f>
        <v>15464</v>
      </c>
      <c r="B179" t="s">
        <v>78</v>
      </c>
      <c r="C179">
        <v>2023</v>
      </c>
      <c r="D179" t="s">
        <v>118</v>
      </c>
    </row>
    <row r="180" spans="1:4" x14ac:dyDescent="0.35">
      <c r="A180">
        <f>VLOOKUP(B180,'[1]Dane municipios'!$B$199:$C$321,2,0)</f>
        <v>15466</v>
      </c>
      <c r="B180" t="s">
        <v>156</v>
      </c>
      <c r="C180">
        <v>2023</v>
      </c>
      <c r="D180" t="s">
        <v>117</v>
      </c>
    </row>
    <row r="181" spans="1:4" x14ac:dyDescent="0.35">
      <c r="A181">
        <f>VLOOKUP(B181,'[1]Dane municipios'!$B$199:$C$321,2,0)</f>
        <v>15469</v>
      </c>
      <c r="B181" t="s">
        <v>157</v>
      </c>
      <c r="C181">
        <v>2023</v>
      </c>
      <c r="D181" t="s">
        <v>116</v>
      </c>
    </row>
    <row r="182" spans="1:4" x14ac:dyDescent="0.35">
      <c r="A182">
        <f>VLOOKUP(B182,'[1]Dane municipios'!$B$199:$C$321,2,0)</f>
        <v>15476</v>
      </c>
      <c r="B182" t="s">
        <v>79</v>
      </c>
      <c r="C182">
        <v>2023</v>
      </c>
      <c r="D182" t="s">
        <v>117</v>
      </c>
    </row>
    <row r="183" spans="1:4" x14ac:dyDescent="0.35">
      <c r="A183">
        <f>VLOOKUP(B183,'[1]Dane municipios'!$B$199:$C$321,2,0)</f>
        <v>15480</v>
      </c>
      <c r="B183" t="s">
        <v>80</v>
      </c>
      <c r="C183">
        <v>2023</v>
      </c>
      <c r="D183" t="s">
        <v>116</v>
      </c>
    </row>
    <row r="184" spans="1:4" x14ac:dyDescent="0.35">
      <c r="A184">
        <f>VLOOKUP(B184,'[1]Dane municipios'!$B$199:$C$321,2,0)</f>
        <v>15491</v>
      </c>
      <c r="B184" t="s">
        <v>81</v>
      </c>
      <c r="C184">
        <v>2023</v>
      </c>
      <c r="D184" t="s">
        <v>115</v>
      </c>
    </row>
    <row r="185" spans="1:4" x14ac:dyDescent="0.35">
      <c r="A185">
        <f>VLOOKUP(B185,'[1]Dane municipios'!$B$199:$C$321,2,0)</f>
        <v>15494</v>
      </c>
      <c r="B185" t="s">
        <v>158</v>
      </c>
      <c r="C185">
        <v>2023</v>
      </c>
      <c r="D185" t="s">
        <v>116</v>
      </c>
    </row>
    <row r="186" spans="1:4" x14ac:dyDescent="0.35">
      <c r="A186">
        <f>VLOOKUP(B186,'[1]Dane municipios'!$B$199:$C$321,2,0)</f>
        <v>15500</v>
      </c>
      <c r="B186" t="s">
        <v>159</v>
      </c>
      <c r="C186">
        <v>2023</v>
      </c>
      <c r="D186" t="s">
        <v>115</v>
      </c>
    </row>
    <row r="187" spans="1:4" x14ac:dyDescent="0.35">
      <c r="A187">
        <f>VLOOKUP(B187,'[1]Dane municipios'!$B$199:$C$321,2,0)</f>
        <v>15507</v>
      </c>
      <c r="B187" t="s">
        <v>82</v>
      </c>
      <c r="C187">
        <v>2023</v>
      </c>
      <c r="D187" t="s">
        <v>115</v>
      </c>
    </row>
    <row r="188" spans="1:4" x14ac:dyDescent="0.35">
      <c r="A188">
        <f>VLOOKUP(B188,'[1]Dane municipios'!$B$199:$C$321,2,0)</f>
        <v>15511</v>
      </c>
      <c r="B188" t="s">
        <v>83</v>
      </c>
      <c r="C188">
        <v>2023</v>
      </c>
      <c r="D188" t="s">
        <v>116</v>
      </c>
    </row>
    <row r="189" spans="1:4" x14ac:dyDescent="0.35">
      <c r="A189">
        <f>VLOOKUP(B189,'[1]Dane municipios'!$B$199:$C$321,2,0)</f>
        <v>15514</v>
      </c>
      <c r="B189" t="s">
        <v>160</v>
      </c>
      <c r="C189">
        <v>2023</v>
      </c>
      <c r="D189" t="s">
        <v>115</v>
      </c>
    </row>
    <row r="190" spans="1:4" x14ac:dyDescent="0.35">
      <c r="A190">
        <f>VLOOKUP(B190,'[1]Dane municipios'!$B$199:$C$321,2,0)</f>
        <v>15516</v>
      </c>
      <c r="B190" t="s">
        <v>84</v>
      </c>
      <c r="C190">
        <v>2023</v>
      </c>
      <c r="D190" t="s">
        <v>115</v>
      </c>
    </row>
    <row r="191" spans="1:4" x14ac:dyDescent="0.35">
      <c r="A191">
        <f>VLOOKUP(B191,'[1]Dane municipios'!$B$199:$C$321,2,0)</f>
        <v>15518</v>
      </c>
      <c r="B191" t="s">
        <v>85</v>
      </c>
      <c r="C191">
        <v>2023</v>
      </c>
      <c r="D191" t="s">
        <v>116</v>
      </c>
    </row>
    <row r="192" spans="1:4" x14ac:dyDescent="0.35">
      <c r="A192">
        <f>VLOOKUP(B192,'[1]Dane municipios'!$B$199:$C$321,2,0)</f>
        <v>15522</v>
      </c>
      <c r="B192" t="s">
        <v>86</v>
      </c>
      <c r="C192">
        <v>2023</v>
      </c>
      <c r="D192" t="s">
        <v>117</v>
      </c>
    </row>
    <row r="193" spans="1:4" x14ac:dyDescent="0.35">
      <c r="A193">
        <f>VLOOKUP(B193,'[1]Dane municipios'!$B$199:$C$321,2,0)</f>
        <v>15531</v>
      </c>
      <c r="B193" t="s">
        <v>87</v>
      </c>
      <c r="C193">
        <v>2023</v>
      </c>
      <c r="D193" t="s">
        <v>117</v>
      </c>
    </row>
    <row r="194" spans="1:4" x14ac:dyDescent="0.35">
      <c r="A194">
        <f>VLOOKUP(B194,'[1]Dane municipios'!$B$199:$C$321,2,0)</f>
        <v>15533</v>
      </c>
      <c r="B194" t="s">
        <v>88</v>
      </c>
      <c r="C194">
        <v>2023</v>
      </c>
      <c r="D194" t="s">
        <v>118</v>
      </c>
    </row>
    <row r="195" spans="1:4" x14ac:dyDescent="0.35">
      <c r="A195">
        <f>VLOOKUP(B195,'[1]Dane municipios'!$B$199:$C$321,2,0)</f>
        <v>15537</v>
      </c>
      <c r="B195" t="s">
        <v>161</v>
      </c>
      <c r="C195">
        <v>2023</v>
      </c>
      <c r="D195" t="s">
        <v>116</v>
      </c>
    </row>
    <row r="196" spans="1:4" x14ac:dyDescent="0.35">
      <c r="A196">
        <f>VLOOKUP(B196,'[1]Dane municipios'!$B$199:$C$321,2,0)</f>
        <v>15542</v>
      </c>
      <c r="B196" t="s">
        <v>89</v>
      </c>
      <c r="C196">
        <v>2023</v>
      </c>
      <c r="D196" t="s">
        <v>118</v>
      </c>
    </row>
    <row r="197" spans="1:4" x14ac:dyDescent="0.35">
      <c r="A197">
        <f>VLOOKUP(B197,'[1]Dane municipios'!$B$199:$C$321,2,0)</f>
        <v>15550</v>
      </c>
      <c r="B197" t="s">
        <v>90</v>
      </c>
      <c r="C197">
        <v>2023</v>
      </c>
      <c r="D197" t="s">
        <v>116</v>
      </c>
    </row>
    <row r="198" spans="1:4" x14ac:dyDescent="0.35">
      <c r="A198">
        <f>VLOOKUP(B198,'[1]Dane municipios'!$B$199:$C$321,2,0)</f>
        <v>15572</v>
      </c>
      <c r="B198" t="s">
        <v>138</v>
      </c>
      <c r="C198">
        <v>2023</v>
      </c>
      <c r="D198" t="s">
        <v>115</v>
      </c>
    </row>
    <row r="199" spans="1:4" x14ac:dyDescent="0.35">
      <c r="A199">
        <f>VLOOKUP(B199,'[1]Dane municipios'!$B$199:$C$321,2,0)</f>
        <v>15580</v>
      </c>
      <c r="B199" t="s">
        <v>162</v>
      </c>
      <c r="C199">
        <v>2023</v>
      </c>
      <c r="D199" t="s">
        <v>117</v>
      </c>
    </row>
    <row r="200" spans="1:4" x14ac:dyDescent="0.35">
      <c r="A200">
        <f>VLOOKUP(B200,'[1]Dane municipios'!$B$199:$C$321,2,0)</f>
        <v>15599</v>
      </c>
      <c r="B200" t="s">
        <v>163</v>
      </c>
      <c r="C200">
        <v>2023</v>
      </c>
      <c r="D200" t="s">
        <v>115</v>
      </c>
    </row>
    <row r="201" spans="1:4" x14ac:dyDescent="0.35">
      <c r="A201">
        <f>VLOOKUP(B201,'[1]Dane municipios'!$B$199:$C$321,2,0)</f>
        <v>15600</v>
      </c>
      <c r="B201" t="s">
        <v>164</v>
      </c>
      <c r="C201">
        <v>2023</v>
      </c>
      <c r="D201" t="s">
        <v>117</v>
      </c>
    </row>
    <row r="202" spans="1:4" x14ac:dyDescent="0.35">
      <c r="A202">
        <f>VLOOKUP(B202,'[1]Dane municipios'!$B$199:$C$321,2,0)</f>
        <v>15621</v>
      </c>
      <c r="B202" t="s">
        <v>165</v>
      </c>
      <c r="C202">
        <v>2023</v>
      </c>
      <c r="D202" t="s">
        <v>118</v>
      </c>
    </row>
    <row r="203" spans="1:4" x14ac:dyDescent="0.35">
      <c r="A203">
        <f>VLOOKUP(B203,'[1]Dane municipios'!$B$199:$C$321,2,0)</f>
        <v>15632</v>
      </c>
      <c r="B203" t="s">
        <v>166</v>
      </c>
      <c r="C203">
        <v>2023</v>
      </c>
      <c r="D203" t="s">
        <v>117</v>
      </c>
    </row>
    <row r="204" spans="1:4" x14ac:dyDescent="0.35">
      <c r="A204">
        <f>VLOOKUP(B204,'[1]Dane municipios'!$B$199:$C$321,2,0)</f>
        <v>15638</v>
      </c>
      <c r="B204" t="s">
        <v>167</v>
      </c>
      <c r="C204">
        <v>2023</v>
      </c>
      <c r="D204" t="s">
        <v>115</v>
      </c>
    </row>
    <row r="205" spans="1:4" x14ac:dyDescent="0.35">
      <c r="A205">
        <f>VLOOKUP(B205,'[1]Dane municipios'!$B$199:$C$321,2,0)</f>
        <v>15646</v>
      </c>
      <c r="B205" t="s">
        <v>168</v>
      </c>
      <c r="C205">
        <v>2023</v>
      </c>
      <c r="D205" t="s">
        <v>115</v>
      </c>
    </row>
    <row r="206" spans="1:4" x14ac:dyDescent="0.35">
      <c r="A206">
        <f>VLOOKUP(B206,'[1]Dane municipios'!$B$199:$C$321,2,0)</f>
        <v>15660</v>
      </c>
      <c r="B206" t="s">
        <v>91</v>
      </c>
      <c r="C206">
        <v>2023</v>
      </c>
      <c r="D206" t="s">
        <v>116</v>
      </c>
    </row>
    <row r="207" spans="1:4" x14ac:dyDescent="0.35">
      <c r="A207">
        <f>VLOOKUP(B207,'[1]Dane municipios'!$B$199:$C$321,2,0)</f>
        <v>15664</v>
      </c>
      <c r="B207" t="s">
        <v>169</v>
      </c>
      <c r="C207">
        <v>2023</v>
      </c>
      <c r="D207" t="s">
        <v>117</v>
      </c>
    </row>
    <row r="208" spans="1:4" x14ac:dyDescent="0.35">
      <c r="A208">
        <f>VLOOKUP(B208,'[1]Dane municipios'!$B$199:$C$321,2,0)</f>
        <v>15667</v>
      </c>
      <c r="B208" t="s">
        <v>92</v>
      </c>
      <c r="C208">
        <v>2023</v>
      </c>
      <c r="D208" t="s">
        <v>116</v>
      </c>
    </row>
    <row r="209" spans="1:4" x14ac:dyDescent="0.35">
      <c r="A209">
        <f>VLOOKUP(B209,'[1]Dane municipios'!$B$199:$C$321,2,0)</f>
        <v>15673</v>
      </c>
      <c r="B209" t="s">
        <v>93</v>
      </c>
      <c r="C209">
        <v>2023</v>
      </c>
      <c r="D209" t="s">
        <v>117</v>
      </c>
    </row>
    <row r="210" spans="1:4" x14ac:dyDescent="0.35">
      <c r="A210">
        <f>VLOOKUP(B210,'[1]Dane municipios'!$B$199:$C$321,2,0)</f>
        <v>15676</v>
      </c>
      <c r="B210" t="s">
        <v>94</v>
      </c>
      <c r="C210">
        <v>2023</v>
      </c>
      <c r="D210" t="s">
        <v>116</v>
      </c>
    </row>
    <row r="211" spans="1:4" x14ac:dyDescent="0.35">
      <c r="A211">
        <f>VLOOKUP(B211,'[1]Dane municipios'!$B$199:$C$321,2,0)</f>
        <v>15681</v>
      </c>
      <c r="B211" t="s">
        <v>95</v>
      </c>
      <c r="C211">
        <v>2023</v>
      </c>
      <c r="D211" t="s">
        <v>118</v>
      </c>
    </row>
    <row r="212" spans="1:4" x14ac:dyDescent="0.35">
      <c r="A212">
        <f>VLOOKUP(B212,'[1]Dane municipios'!$B$199:$C$321,2,0)</f>
        <v>15686</v>
      </c>
      <c r="B212" t="s">
        <v>96</v>
      </c>
      <c r="C212">
        <v>2023</v>
      </c>
      <c r="D212" t="s">
        <v>117</v>
      </c>
    </row>
    <row r="213" spans="1:4" x14ac:dyDescent="0.35">
      <c r="A213">
        <f>VLOOKUP(B213,'[1]Dane municipios'!$B$199:$C$321,2,0)</f>
        <v>15690</v>
      </c>
      <c r="B213" t="s">
        <v>170</v>
      </c>
      <c r="C213">
        <v>2023</v>
      </c>
      <c r="D213" t="s">
        <v>115</v>
      </c>
    </row>
    <row r="214" spans="1:4" x14ac:dyDescent="0.35">
      <c r="A214">
        <f>VLOOKUP(B214,'[1]Dane municipios'!$B$199:$C$321,2,0)</f>
        <v>15693</v>
      </c>
      <c r="B214" t="s">
        <v>97</v>
      </c>
      <c r="C214">
        <v>2023</v>
      </c>
      <c r="D214" t="s">
        <v>118</v>
      </c>
    </row>
    <row r="215" spans="1:4" x14ac:dyDescent="0.35">
      <c r="A215">
        <f>VLOOKUP(B215,'[1]Dane municipios'!$B$199:$C$321,2,0)</f>
        <v>15696</v>
      </c>
      <c r="B215" t="s">
        <v>171</v>
      </c>
      <c r="C215">
        <v>2023</v>
      </c>
      <c r="D215" t="s">
        <v>115</v>
      </c>
    </row>
    <row r="216" spans="1:4" x14ac:dyDescent="0.35">
      <c r="A216">
        <f>VLOOKUP(B216,'[1]Dane municipios'!$B$199:$C$321,2,0)</f>
        <v>15720</v>
      </c>
      <c r="B216" t="s">
        <v>98</v>
      </c>
      <c r="C216">
        <v>2023</v>
      </c>
      <c r="D216" t="s">
        <v>117</v>
      </c>
    </row>
    <row r="217" spans="1:4" x14ac:dyDescent="0.35">
      <c r="A217">
        <f>VLOOKUP(B217,'[1]Dane municipios'!$B$199:$C$321,2,0)</f>
        <v>15723</v>
      </c>
      <c r="B217" t="s">
        <v>99</v>
      </c>
      <c r="C217">
        <v>2023</v>
      </c>
      <c r="D217" t="s">
        <v>116</v>
      </c>
    </row>
    <row r="218" spans="1:4" x14ac:dyDescent="0.35">
      <c r="A218">
        <f>VLOOKUP(B218,'[1]Dane municipios'!$B$199:$C$321,2,0)</f>
        <v>15740</v>
      </c>
      <c r="B218" t="s">
        <v>100</v>
      </c>
      <c r="C218">
        <v>2023</v>
      </c>
      <c r="D218" t="s">
        <v>117</v>
      </c>
    </row>
    <row r="219" spans="1:4" x14ac:dyDescent="0.35">
      <c r="A219">
        <f>VLOOKUP(B219,'[1]Dane municipios'!$B$199:$C$321,2,0)</f>
        <v>15753</v>
      </c>
      <c r="B219" t="s">
        <v>172</v>
      </c>
      <c r="C219">
        <v>2023</v>
      </c>
      <c r="D219" t="s">
        <v>117</v>
      </c>
    </row>
    <row r="220" spans="1:4" x14ac:dyDescent="0.35">
      <c r="A220">
        <f>VLOOKUP(B220,'[1]Dane municipios'!$B$199:$C$321,2,0)</f>
        <v>15755</v>
      </c>
      <c r="B220" t="s">
        <v>173</v>
      </c>
      <c r="C220">
        <v>2023</v>
      </c>
      <c r="D220" t="s">
        <v>117</v>
      </c>
    </row>
    <row r="221" spans="1:4" x14ac:dyDescent="0.35">
      <c r="A221">
        <f>VLOOKUP(B221,'[1]Dane municipios'!$B$199:$C$321,2,0)</f>
        <v>15757</v>
      </c>
      <c r="B221" t="s">
        <v>101</v>
      </c>
      <c r="C221">
        <v>2023</v>
      </c>
      <c r="D221" t="s">
        <v>116</v>
      </c>
    </row>
    <row r="222" spans="1:4" x14ac:dyDescent="0.35">
      <c r="A222">
        <f>VLOOKUP(B222,'[1]Dane municipios'!$B$199:$C$321,2,0)</f>
        <v>15759</v>
      </c>
      <c r="B222" t="s">
        <v>102</v>
      </c>
      <c r="C222">
        <v>2023</v>
      </c>
      <c r="D222" t="s">
        <v>115</v>
      </c>
    </row>
    <row r="223" spans="1:4" x14ac:dyDescent="0.35">
      <c r="A223">
        <f>VLOOKUP(B223,'[1]Dane municipios'!$B$199:$C$321,2,0)</f>
        <v>15761</v>
      </c>
      <c r="B223" t="s">
        <v>103</v>
      </c>
      <c r="C223">
        <v>2023</v>
      </c>
      <c r="D223" t="s">
        <v>117</v>
      </c>
    </row>
    <row r="224" spans="1:4" x14ac:dyDescent="0.35">
      <c r="A224">
        <f>VLOOKUP(B224,'[1]Dane municipios'!$B$199:$C$321,2,0)</f>
        <v>15762</v>
      </c>
      <c r="B224" t="s">
        <v>104</v>
      </c>
      <c r="C224">
        <v>2023</v>
      </c>
      <c r="D224" t="s">
        <v>118</v>
      </c>
    </row>
    <row r="225" spans="1:4" x14ac:dyDescent="0.35">
      <c r="A225">
        <f>VLOOKUP(B225,'[1]Dane municipios'!$B$199:$C$321,2,0)</f>
        <v>15763</v>
      </c>
      <c r="B225" t="s">
        <v>174</v>
      </c>
      <c r="C225">
        <v>2023</v>
      </c>
      <c r="D225" t="s">
        <v>116</v>
      </c>
    </row>
    <row r="226" spans="1:4" x14ac:dyDescent="0.35">
      <c r="A226">
        <f>VLOOKUP(B226,'[1]Dane municipios'!$B$199:$C$321,2,0)</f>
        <v>15764</v>
      </c>
      <c r="B226" t="s">
        <v>175</v>
      </c>
      <c r="C226">
        <v>2023</v>
      </c>
      <c r="D226" t="s">
        <v>116</v>
      </c>
    </row>
    <row r="227" spans="1:4" x14ac:dyDescent="0.35">
      <c r="A227">
        <f>VLOOKUP(B227,'[1]Dane municipios'!$B$199:$C$321,2,0)</f>
        <v>15774</v>
      </c>
      <c r="B227" t="s">
        <v>176</v>
      </c>
      <c r="C227">
        <v>2023</v>
      </c>
      <c r="D227" t="s">
        <v>119</v>
      </c>
    </row>
    <row r="228" spans="1:4" x14ac:dyDescent="0.35">
      <c r="A228">
        <f>VLOOKUP(B228,'[1]Dane municipios'!$B$199:$C$321,2,0)</f>
        <v>15776</v>
      </c>
      <c r="B228" t="s">
        <v>177</v>
      </c>
      <c r="C228">
        <v>2023</v>
      </c>
      <c r="D228" t="s">
        <v>116</v>
      </c>
    </row>
    <row r="229" spans="1:4" x14ac:dyDescent="0.35">
      <c r="A229">
        <f>VLOOKUP(B229,'[1]Dane municipios'!$B$199:$C$321,2,0)</f>
        <v>15778</v>
      </c>
      <c r="B229" t="s">
        <v>105</v>
      </c>
      <c r="C229">
        <v>2023</v>
      </c>
      <c r="D229" t="s">
        <v>116</v>
      </c>
    </row>
    <row r="230" spans="1:4" x14ac:dyDescent="0.35">
      <c r="A230">
        <f>VLOOKUP(B230,'[1]Dane municipios'!$B$199:$C$321,2,0)</f>
        <v>15790</v>
      </c>
      <c r="B230" t="s">
        <v>106</v>
      </c>
      <c r="C230">
        <v>2023</v>
      </c>
      <c r="D230" t="s">
        <v>118</v>
      </c>
    </row>
    <row r="231" spans="1:4" x14ac:dyDescent="0.35">
      <c r="A231">
        <f>VLOOKUP(B231,'[1]Dane municipios'!$B$199:$C$321,2,0)</f>
        <v>15798</v>
      </c>
      <c r="B231" t="s">
        <v>107</v>
      </c>
      <c r="C231">
        <v>2023</v>
      </c>
      <c r="D231" t="s">
        <v>116</v>
      </c>
    </row>
    <row r="232" spans="1:4" x14ac:dyDescent="0.35">
      <c r="A232">
        <f>VLOOKUP(B232,'[1]Dane municipios'!$B$199:$C$321,2,0)</f>
        <v>15804</v>
      </c>
      <c r="B232" t="s">
        <v>178</v>
      </c>
      <c r="C232">
        <v>2023</v>
      </c>
      <c r="D232" t="s">
        <v>117</v>
      </c>
    </row>
    <row r="233" spans="1:4" x14ac:dyDescent="0.35">
      <c r="A233">
        <f>VLOOKUP(B233,'[1]Dane municipios'!$B$199:$C$321,2,0)</f>
        <v>15806</v>
      </c>
      <c r="B233" t="s">
        <v>108</v>
      </c>
      <c r="C233">
        <v>2023</v>
      </c>
      <c r="D233" t="s">
        <v>115</v>
      </c>
    </row>
    <row r="234" spans="1:4" x14ac:dyDescent="0.35">
      <c r="A234">
        <f>VLOOKUP(B234,'[1]Dane municipios'!$B$199:$C$321,2,0)</f>
        <v>15808</v>
      </c>
      <c r="B234" t="s">
        <v>179</v>
      </c>
      <c r="C234">
        <v>2023</v>
      </c>
      <c r="D234" t="s">
        <v>117</v>
      </c>
    </row>
    <row r="235" spans="1:4" x14ac:dyDescent="0.35">
      <c r="A235">
        <f>VLOOKUP(B235,'[1]Dane municipios'!$B$199:$C$321,2,0)</f>
        <v>15810</v>
      </c>
      <c r="B235" t="s">
        <v>109</v>
      </c>
      <c r="C235">
        <v>2023</v>
      </c>
      <c r="D235" t="s">
        <v>118</v>
      </c>
    </row>
    <row r="236" spans="1:4" x14ac:dyDescent="0.35">
      <c r="A236">
        <f>VLOOKUP(B236,'[1]Dane municipios'!$B$199:$C$321,2,0)</f>
        <v>15814</v>
      </c>
      <c r="B236" t="s">
        <v>110</v>
      </c>
      <c r="C236">
        <v>2023</v>
      </c>
      <c r="D236" t="s">
        <v>116</v>
      </c>
    </row>
    <row r="237" spans="1:4" x14ac:dyDescent="0.35">
      <c r="A237">
        <f>VLOOKUP(B237,'[1]Dane municipios'!$B$199:$C$321,2,0)</f>
        <v>15816</v>
      </c>
      <c r="B237" t="s">
        <v>180</v>
      </c>
      <c r="C237">
        <v>2023</v>
      </c>
      <c r="D237" t="s">
        <v>118</v>
      </c>
    </row>
    <row r="238" spans="1:4" x14ac:dyDescent="0.35">
      <c r="A238">
        <f>VLOOKUP(B238,'[1]Dane municipios'!$B$199:$C$321,2,0)</f>
        <v>15820</v>
      </c>
      <c r="B238" t="s">
        <v>181</v>
      </c>
      <c r="C238">
        <v>2023</v>
      </c>
      <c r="D238" t="s">
        <v>116</v>
      </c>
    </row>
    <row r="239" spans="1:4" x14ac:dyDescent="0.35">
      <c r="A239">
        <f>VLOOKUP(B239,'[1]Dane municipios'!$B$199:$C$321,2,0)</f>
        <v>15822</v>
      </c>
      <c r="B239" t="s">
        <v>111</v>
      </c>
      <c r="C239">
        <v>2023</v>
      </c>
      <c r="D239" t="s">
        <v>118</v>
      </c>
    </row>
    <row r="240" spans="1:4" x14ac:dyDescent="0.35">
      <c r="A240">
        <f>VLOOKUP(B240,'[1]Dane municipios'!$B$199:$C$321,2,0)</f>
        <v>15832</v>
      </c>
      <c r="B240" t="s">
        <v>182</v>
      </c>
      <c r="C240">
        <v>2023</v>
      </c>
      <c r="D240" t="s">
        <v>115</v>
      </c>
    </row>
    <row r="241" spans="1:4" x14ac:dyDescent="0.35">
      <c r="A241">
        <f>VLOOKUP(B241,'[1]Dane municipios'!$B$199:$C$321,2,0)</f>
        <v>15835</v>
      </c>
      <c r="B241" t="s">
        <v>183</v>
      </c>
      <c r="C241">
        <v>2023</v>
      </c>
      <c r="D241" t="s">
        <v>117</v>
      </c>
    </row>
    <row r="242" spans="1:4" x14ac:dyDescent="0.35">
      <c r="A242">
        <f>VLOOKUP(B242,'[1]Dane municipios'!$B$199:$C$321,2,0)</f>
        <v>15837</v>
      </c>
      <c r="B242" t="s">
        <v>112</v>
      </c>
      <c r="C242">
        <v>2023</v>
      </c>
      <c r="D242" t="s">
        <v>115</v>
      </c>
    </row>
    <row r="243" spans="1:4" x14ac:dyDescent="0.35">
      <c r="A243">
        <f>VLOOKUP(B243,'[1]Dane municipios'!$B$199:$C$321,2,0)</f>
        <v>15839</v>
      </c>
      <c r="B243" t="s">
        <v>184</v>
      </c>
      <c r="C243">
        <v>2023</v>
      </c>
      <c r="D243" t="s">
        <v>116</v>
      </c>
    </row>
    <row r="244" spans="1:4" x14ac:dyDescent="0.35">
      <c r="A244">
        <f>VLOOKUP(B244,'[1]Dane municipios'!$B$199:$C$321,2,0)</f>
        <v>15842</v>
      </c>
      <c r="B244" t="s">
        <v>185</v>
      </c>
      <c r="C244">
        <v>2023</v>
      </c>
      <c r="D244" t="s">
        <v>118</v>
      </c>
    </row>
    <row r="245" spans="1:4" x14ac:dyDescent="0.35">
      <c r="A245">
        <f>VLOOKUP(B245,'[1]Dane municipios'!$B$199:$C$321,2,0)</f>
        <v>15861</v>
      </c>
      <c r="B245" t="s">
        <v>113</v>
      </c>
      <c r="C245">
        <v>2023</v>
      </c>
      <c r="D245" t="s">
        <v>116</v>
      </c>
    </row>
    <row r="246" spans="1:4" x14ac:dyDescent="0.35">
      <c r="A246">
        <f>VLOOKUP(B246,'[1]Dane municipios'!$B$199:$C$321,2,0)</f>
        <v>15879</v>
      </c>
      <c r="B246" t="s">
        <v>186</v>
      </c>
      <c r="C246">
        <v>2023</v>
      </c>
      <c r="D246" t="s">
        <v>118</v>
      </c>
    </row>
    <row r="247" spans="1:4" x14ac:dyDescent="0.35">
      <c r="A247">
        <f>VLOOKUP(B247,'[1]Dane municipios'!$B$199:$C$321,2,0)</f>
        <v>15897</v>
      </c>
      <c r="B247" t="s">
        <v>114</v>
      </c>
      <c r="C247">
        <v>2023</v>
      </c>
      <c r="D247" t="s">
        <v>115</v>
      </c>
    </row>
    <row r="249" spans="1:4" x14ac:dyDescent="0.35">
      <c r="A249" t="s">
        <v>17</v>
      </c>
      <c r="B249" t="s">
        <v>35</v>
      </c>
    </row>
    <row r="250" spans="1:4" x14ac:dyDescent="0.35">
      <c r="A250" s="1" t="s">
        <v>2</v>
      </c>
      <c r="B250" t="s">
        <v>139</v>
      </c>
    </row>
    <row r="251" spans="1:4" x14ac:dyDescent="0.35">
      <c r="A251" s="1" t="s">
        <v>11</v>
      </c>
      <c r="B251" t="s">
        <v>140</v>
      </c>
    </row>
    <row r="252" spans="1:4" x14ac:dyDescent="0.35">
      <c r="A252" s="1" t="s">
        <v>13</v>
      </c>
      <c r="B252" t="s">
        <v>36</v>
      </c>
    </row>
    <row r="253" spans="1:4" x14ac:dyDescent="0.35">
      <c r="A253" s="1" t="s">
        <v>15</v>
      </c>
      <c r="B253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5323-45E9-4A7B-93A4-E136B48826A5}">
  <dimension ref="A1:C23"/>
  <sheetViews>
    <sheetView topLeftCell="A21" workbookViewId="0">
      <selection activeCell="B24" sqref="B24"/>
    </sheetView>
  </sheetViews>
  <sheetFormatPr baseColWidth="10" defaultRowHeight="14.5" x14ac:dyDescent="0.35"/>
  <cols>
    <col min="1" max="1" width="16" bestFit="1" customWidth="1"/>
  </cols>
  <sheetData>
    <row r="1" spans="1:3" x14ac:dyDescent="0.35">
      <c r="A1" s="2" t="s">
        <v>19</v>
      </c>
      <c r="B1" s="2">
        <v>2022</v>
      </c>
      <c r="C1" s="2">
        <v>2023</v>
      </c>
    </row>
    <row r="2" spans="1:3" x14ac:dyDescent="0.35">
      <c r="A2" s="3" t="s">
        <v>20</v>
      </c>
      <c r="B2">
        <v>59.621999999999993</v>
      </c>
      <c r="C2">
        <v>61.390666666666668</v>
      </c>
    </row>
    <row r="3" spans="1:3" x14ac:dyDescent="0.35">
      <c r="A3" s="3" t="s">
        <v>21</v>
      </c>
      <c r="B3">
        <v>58.19</v>
      </c>
      <c r="C3">
        <v>61</v>
      </c>
    </row>
    <row r="4" spans="1:3" x14ac:dyDescent="0.35">
      <c r="A4" s="3" t="s">
        <v>22</v>
      </c>
      <c r="B4">
        <v>57.220000000000006</v>
      </c>
      <c r="C4">
        <v>55.859999999999992</v>
      </c>
    </row>
    <row r="5" spans="1:3" x14ac:dyDescent="0.35">
      <c r="A5" s="3" t="s">
        <v>23</v>
      </c>
      <c r="B5">
        <v>47.5625</v>
      </c>
      <c r="C5">
        <v>48.645000000000003</v>
      </c>
    </row>
    <row r="6" spans="1:3" x14ac:dyDescent="0.35">
      <c r="A6" s="3" t="s">
        <v>24</v>
      </c>
      <c r="B6">
        <v>57.848333333333336</v>
      </c>
      <c r="C6">
        <v>61.636666666666663</v>
      </c>
    </row>
    <row r="7" spans="1:3" x14ac:dyDescent="0.35">
      <c r="A7" s="3" t="s">
        <v>25</v>
      </c>
      <c r="B7">
        <v>60.91</v>
      </c>
      <c r="C7">
        <v>61.29</v>
      </c>
    </row>
    <row r="8" spans="1:3" x14ac:dyDescent="0.35">
      <c r="A8" s="3" t="s">
        <v>26</v>
      </c>
      <c r="B8">
        <v>58.544999999999995</v>
      </c>
      <c r="C8">
        <v>59.335000000000015</v>
      </c>
    </row>
    <row r="9" spans="1:3" x14ac:dyDescent="0.35">
      <c r="A9" s="3" t="s">
        <v>27</v>
      </c>
      <c r="B9">
        <v>56.366666666666667</v>
      </c>
      <c r="C9">
        <v>55.818333333333328</v>
      </c>
    </row>
    <row r="10" spans="1:3" x14ac:dyDescent="0.35">
      <c r="A10" s="3" t="s">
        <v>28</v>
      </c>
      <c r="B10">
        <v>49.906666666666666</v>
      </c>
      <c r="C10">
        <v>56.356666666666662</v>
      </c>
    </row>
    <row r="11" spans="1:3" x14ac:dyDescent="0.35">
      <c r="A11" s="3" t="s">
        <v>29</v>
      </c>
      <c r="B11">
        <v>50.533333333333339</v>
      </c>
      <c r="C11">
        <v>54.059999999999995</v>
      </c>
    </row>
    <row r="12" spans="1:3" x14ac:dyDescent="0.35">
      <c r="A12" s="3" t="s">
        <v>30</v>
      </c>
      <c r="B12">
        <v>53.032499999999999</v>
      </c>
      <c r="C12">
        <v>53.183749999999996</v>
      </c>
    </row>
    <row r="13" spans="1:3" x14ac:dyDescent="0.35">
      <c r="A13" s="3" t="s">
        <v>31</v>
      </c>
      <c r="B13">
        <v>56.534615384615378</v>
      </c>
      <c r="C13">
        <v>57.739230769230758</v>
      </c>
    </row>
    <row r="14" spans="1:3" x14ac:dyDescent="0.35">
      <c r="A14" s="3" t="s">
        <v>32</v>
      </c>
      <c r="B14">
        <v>56.9823076923077</v>
      </c>
      <c r="C14">
        <v>57.92307692307692</v>
      </c>
    </row>
    <row r="15" spans="1:3" x14ac:dyDescent="0.35">
      <c r="A15" s="3" t="s">
        <v>33</v>
      </c>
      <c r="B15">
        <v>56.32</v>
      </c>
      <c r="C15">
        <v>56.937777777777782</v>
      </c>
    </row>
    <row r="16" spans="1:3" x14ac:dyDescent="0.35">
      <c r="A16" s="3" t="s">
        <v>34</v>
      </c>
      <c r="B16">
        <v>55.431428571428583</v>
      </c>
      <c r="C16">
        <v>58.765714285714289</v>
      </c>
    </row>
    <row r="18" spans="1:2" x14ac:dyDescent="0.35">
      <c r="A18" s="1" t="s">
        <v>2</v>
      </c>
      <c r="B18" t="s">
        <v>126</v>
      </c>
    </row>
    <row r="19" spans="1:2" x14ac:dyDescent="0.35">
      <c r="A19" s="1" t="s">
        <v>11</v>
      </c>
      <c r="B19" t="s">
        <v>127</v>
      </c>
    </row>
    <row r="20" spans="1:2" x14ac:dyDescent="0.35">
      <c r="A20" s="1" t="s">
        <v>13</v>
      </c>
      <c r="B20" t="s">
        <v>128</v>
      </c>
    </row>
    <row r="21" spans="1:2" x14ac:dyDescent="0.35">
      <c r="A21" s="1" t="s">
        <v>15</v>
      </c>
      <c r="B21" t="s">
        <v>16</v>
      </c>
    </row>
    <row r="22" spans="1:2" x14ac:dyDescent="0.35">
      <c r="A22" s="1"/>
      <c r="B22" s="1"/>
    </row>
    <row r="23" spans="1:2" x14ac:dyDescent="0.35">
      <c r="A23" s="1" t="s">
        <v>17</v>
      </c>
      <c r="B23" t="s">
        <v>134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763BB-4353-4AAA-84CD-87D1E9D8B9FB}">
  <dimension ref="A1:D253"/>
  <sheetViews>
    <sheetView workbookViewId="0">
      <selection activeCell="A2" sqref="A2:A247"/>
    </sheetView>
  </sheetViews>
  <sheetFormatPr baseColWidth="10" defaultRowHeight="14.5" x14ac:dyDescent="0.35"/>
  <cols>
    <col min="1" max="1" width="11.81640625" bestFit="1" customWidth="1"/>
    <col min="4" max="4" width="21.81640625" bestFit="1" customWidth="1"/>
  </cols>
  <sheetData>
    <row r="1" spans="1:4" x14ac:dyDescent="0.35">
      <c r="A1" s="4" t="s">
        <v>38</v>
      </c>
      <c r="B1" s="4" t="s">
        <v>39</v>
      </c>
      <c r="C1" s="5" t="s">
        <v>40</v>
      </c>
      <c r="D1" s="5" t="s">
        <v>129</v>
      </c>
    </row>
    <row r="2" spans="1:4" x14ac:dyDescent="0.35">
      <c r="A2">
        <f>VLOOKUP(B2,'[1]Dane municipios'!$B$199:$C$321,2,0)</f>
        <v>15001</v>
      </c>
      <c r="B2" t="s">
        <v>42</v>
      </c>
      <c r="C2">
        <v>2022</v>
      </c>
      <c r="D2">
        <v>72.09</v>
      </c>
    </row>
    <row r="3" spans="1:4" x14ac:dyDescent="0.35">
      <c r="A3">
        <f>VLOOKUP(B3,'[1]Dane municipios'!$B$199:$C$321,2,0)</f>
        <v>15022</v>
      </c>
      <c r="B3" t="s">
        <v>43</v>
      </c>
      <c r="C3">
        <v>2022</v>
      </c>
      <c r="D3">
        <v>63.82</v>
      </c>
    </row>
    <row r="4" spans="1:4" x14ac:dyDescent="0.35">
      <c r="A4">
        <f>VLOOKUP(B4,'[1]Dane municipios'!$B$199:$C$321,2,0)</f>
        <v>15047</v>
      </c>
      <c r="B4" t="s">
        <v>44</v>
      </c>
      <c r="C4">
        <v>2022</v>
      </c>
      <c r="D4">
        <v>49.39</v>
      </c>
    </row>
    <row r="5" spans="1:4" x14ac:dyDescent="0.35">
      <c r="A5">
        <f>VLOOKUP(B5,'[1]Dane municipios'!$B$199:$C$321,2,0)</f>
        <v>15051</v>
      </c>
      <c r="B5" t="s">
        <v>45</v>
      </c>
      <c r="C5">
        <v>2022</v>
      </c>
      <c r="D5">
        <v>55.11</v>
      </c>
    </row>
    <row r="6" spans="1:4" x14ac:dyDescent="0.35">
      <c r="A6">
        <f>VLOOKUP(B6,'[1]Dane municipios'!$B$199:$C$321,2,0)</f>
        <v>15087</v>
      </c>
      <c r="B6" t="s">
        <v>135</v>
      </c>
      <c r="C6">
        <v>2022</v>
      </c>
      <c r="D6">
        <v>50.46</v>
      </c>
    </row>
    <row r="7" spans="1:4" x14ac:dyDescent="0.35">
      <c r="A7">
        <f>VLOOKUP(B7,'[1]Dane municipios'!$B$199:$C$321,2,0)</f>
        <v>15090</v>
      </c>
      <c r="B7" t="s">
        <v>46</v>
      </c>
      <c r="C7">
        <v>2022</v>
      </c>
      <c r="D7">
        <v>54.96</v>
      </c>
    </row>
    <row r="8" spans="1:4" x14ac:dyDescent="0.35">
      <c r="A8">
        <f>VLOOKUP(B8,'[1]Dane municipios'!$B$199:$C$321,2,0)</f>
        <v>15092</v>
      </c>
      <c r="B8" t="s">
        <v>136</v>
      </c>
      <c r="C8">
        <v>2022</v>
      </c>
      <c r="D8">
        <v>57.88</v>
      </c>
    </row>
    <row r="9" spans="1:4" x14ac:dyDescent="0.35">
      <c r="A9">
        <f>VLOOKUP(B9,'[1]Dane municipios'!$B$199:$C$321,2,0)</f>
        <v>15097</v>
      </c>
      <c r="B9" t="s">
        <v>47</v>
      </c>
      <c r="C9">
        <v>2022</v>
      </c>
      <c r="D9">
        <v>51.18</v>
      </c>
    </row>
    <row r="10" spans="1:4" x14ac:dyDescent="0.35">
      <c r="A10">
        <f>VLOOKUP(B10,'[1]Dane municipios'!$B$199:$C$321,2,0)</f>
        <v>15104</v>
      </c>
      <c r="B10" t="s">
        <v>137</v>
      </c>
      <c r="C10">
        <v>2022</v>
      </c>
      <c r="D10">
        <v>60.37</v>
      </c>
    </row>
    <row r="11" spans="1:4" x14ac:dyDescent="0.35">
      <c r="A11">
        <f>VLOOKUP(B11,'[1]Dane municipios'!$B$199:$C$321,2,0)</f>
        <v>15106</v>
      </c>
      <c r="B11" t="s">
        <v>48</v>
      </c>
      <c r="C11">
        <v>2022</v>
      </c>
      <c r="D11">
        <v>60.38</v>
      </c>
    </row>
    <row r="12" spans="1:4" x14ac:dyDescent="0.35">
      <c r="A12">
        <f>VLOOKUP(B12,'[1]Dane municipios'!$B$199:$C$321,2,0)</f>
        <v>15109</v>
      </c>
      <c r="B12" t="s">
        <v>49</v>
      </c>
      <c r="C12">
        <v>2022</v>
      </c>
      <c r="D12">
        <v>57.07</v>
      </c>
    </row>
    <row r="13" spans="1:4" x14ac:dyDescent="0.35">
      <c r="A13">
        <f>VLOOKUP(B13,'[1]Dane municipios'!$B$199:$C$321,2,0)</f>
        <v>15114</v>
      </c>
      <c r="B13" t="s">
        <v>141</v>
      </c>
      <c r="C13">
        <v>2022</v>
      </c>
      <c r="D13">
        <v>60.4</v>
      </c>
    </row>
    <row r="14" spans="1:4" x14ac:dyDescent="0.35">
      <c r="A14">
        <f>VLOOKUP(B14,'[1]Dane municipios'!$B$199:$C$321,2,0)</f>
        <v>15131</v>
      </c>
      <c r="B14" t="s">
        <v>50</v>
      </c>
      <c r="C14">
        <v>2022</v>
      </c>
      <c r="D14">
        <v>52.27</v>
      </c>
    </row>
    <row r="15" spans="1:4" x14ac:dyDescent="0.35">
      <c r="A15">
        <f>VLOOKUP(B15,'[1]Dane municipios'!$B$199:$C$321,2,0)</f>
        <v>15135</v>
      </c>
      <c r="B15" t="s">
        <v>51</v>
      </c>
      <c r="C15">
        <v>2022</v>
      </c>
      <c r="D15">
        <v>54.84</v>
      </c>
    </row>
    <row r="16" spans="1:4" x14ac:dyDescent="0.35">
      <c r="A16">
        <f>VLOOKUP(B16,'[1]Dane municipios'!$B$199:$C$321,2,0)</f>
        <v>15162</v>
      </c>
      <c r="B16" t="s">
        <v>52</v>
      </c>
      <c r="C16">
        <v>2022</v>
      </c>
      <c r="D16">
        <v>53.68</v>
      </c>
    </row>
    <row r="17" spans="1:4" x14ac:dyDescent="0.35">
      <c r="A17">
        <f>VLOOKUP(B17,'[1]Dane municipios'!$B$199:$C$321,2,0)</f>
        <v>15172</v>
      </c>
      <c r="B17" t="s">
        <v>53</v>
      </c>
      <c r="C17">
        <v>2022</v>
      </c>
      <c r="D17">
        <v>57.73</v>
      </c>
    </row>
    <row r="18" spans="1:4" x14ac:dyDescent="0.35">
      <c r="A18">
        <f>VLOOKUP(B18,'[1]Dane municipios'!$B$199:$C$321,2,0)</f>
        <v>15176</v>
      </c>
      <c r="B18" t="s">
        <v>142</v>
      </c>
      <c r="C18">
        <v>2022</v>
      </c>
      <c r="D18">
        <v>53.99</v>
      </c>
    </row>
    <row r="19" spans="1:4" x14ac:dyDescent="0.35">
      <c r="A19">
        <f>VLOOKUP(B19,'[1]Dane municipios'!$B$199:$C$321,2,0)</f>
        <v>15180</v>
      </c>
      <c r="B19" t="s">
        <v>54</v>
      </c>
      <c r="C19">
        <v>2022</v>
      </c>
      <c r="D19">
        <v>58.77</v>
      </c>
    </row>
    <row r="20" spans="1:4" x14ac:dyDescent="0.35">
      <c r="A20">
        <f>VLOOKUP(B20,'[1]Dane municipios'!$B$199:$C$321,2,0)</f>
        <v>15183</v>
      </c>
      <c r="B20" t="s">
        <v>55</v>
      </c>
      <c r="C20">
        <v>2022</v>
      </c>
      <c r="D20">
        <v>55.67</v>
      </c>
    </row>
    <row r="21" spans="1:4" x14ac:dyDescent="0.35">
      <c r="A21">
        <f>VLOOKUP(B21,'[1]Dane municipios'!$B$199:$C$321,2,0)</f>
        <v>15185</v>
      </c>
      <c r="B21" t="s">
        <v>56</v>
      </c>
      <c r="C21">
        <v>2022</v>
      </c>
      <c r="D21">
        <v>46.62</v>
      </c>
    </row>
    <row r="22" spans="1:4" x14ac:dyDescent="0.35">
      <c r="A22">
        <f>VLOOKUP(B22,'[1]Dane municipios'!$B$199:$C$321,2,0)</f>
        <v>15187</v>
      </c>
      <c r="B22" t="s">
        <v>143</v>
      </c>
      <c r="C22">
        <v>2022</v>
      </c>
      <c r="D22">
        <v>67.7</v>
      </c>
    </row>
    <row r="23" spans="1:4" x14ac:dyDescent="0.35">
      <c r="A23">
        <f>VLOOKUP(B23,'[1]Dane municipios'!$B$199:$C$321,2,0)</f>
        <v>15189</v>
      </c>
      <c r="B23" t="s">
        <v>144</v>
      </c>
      <c r="C23">
        <v>2022</v>
      </c>
      <c r="D23">
        <v>62.61</v>
      </c>
    </row>
    <row r="24" spans="1:4" x14ac:dyDescent="0.35">
      <c r="A24">
        <f>VLOOKUP(B24,'[1]Dane municipios'!$B$199:$C$321,2,0)</f>
        <v>15204</v>
      </c>
      <c r="B24" t="s">
        <v>145</v>
      </c>
      <c r="C24">
        <v>2022</v>
      </c>
      <c r="D24">
        <v>56.71</v>
      </c>
    </row>
    <row r="25" spans="1:4" x14ac:dyDescent="0.35">
      <c r="A25">
        <f>VLOOKUP(B25,'[1]Dane municipios'!$B$199:$C$321,2,0)</f>
        <v>15212</v>
      </c>
      <c r="B25" t="s">
        <v>57</v>
      </c>
      <c r="C25">
        <v>2022</v>
      </c>
      <c r="D25">
        <v>46.99</v>
      </c>
    </row>
    <row r="26" spans="1:4" x14ac:dyDescent="0.35">
      <c r="A26">
        <f>VLOOKUP(B26,'[1]Dane municipios'!$B$199:$C$321,2,0)</f>
        <v>15215</v>
      </c>
      <c r="B26" t="s">
        <v>58</v>
      </c>
      <c r="C26">
        <v>2022</v>
      </c>
      <c r="D26">
        <v>56.91</v>
      </c>
    </row>
    <row r="27" spans="1:4" x14ac:dyDescent="0.35">
      <c r="A27">
        <f>VLOOKUP(B27,'[1]Dane municipios'!$B$199:$C$321,2,0)</f>
        <v>15218</v>
      </c>
      <c r="B27" t="s">
        <v>146</v>
      </c>
      <c r="C27">
        <v>2022</v>
      </c>
      <c r="D27">
        <v>40.98</v>
      </c>
    </row>
    <row r="28" spans="1:4" x14ac:dyDescent="0.35">
      <c r="A28">
        <f>VLOOKUP(B28,'[1]Dane municipios'!$B$199:$C$321,2,0)</f>
        <v>15223</v>
      </c>
      <c r="B28" t="s">
        <v>148</v>
      </c>
      <c r="C28">
        <v>2022</v>
      </c>
      <c r="D28">
        <v>58.19</v>
      </c>
    </row>
    <row r="29" spans="1:4" x14ac:dyDescent="0.35">
      <c r="A29">
        <f>VLOOKUP(B29,'[1]Dane municipios'!$B$199:$C$321,2,0)</f>
        <v>15224</v>
      </c>
      <c r="B29" t="s">
        <v>59</v>
      </c>
      <c r="C29">
        <v>2022</v>
      </c>
      <c r="D29">
        <v>56.9</v>
      </c>
    </row>
    <row r="30" spans="1:4" x14ac:dyDescent="0.35">
      <c r="A30">
        <f>VLOOKUP(B30,'[1]Dane municipios'!$B$199:$C$321,2,0)</f>
        <v>15226</v>
      </c>
      <c r="B30" t="s">
        <v>147</v>
      </c>
      <c r="C30">
        <v>2022</v>
      </c>
      <c r="D30">
        <v>64.52</v>
      </c>
    </row>
    <row r="31" spans="1:4" x14ac:dyDescent="0.35">
      <c r="A31">
        <f>VLOOKUP(B31,'[1]Dane municipios'!$B$199:$C$321,2,0)</f>
        <v>15232</v>
      </c>
      <c r="B31" t="s">
        <v>149</v>
      </c>
      <c r="C31">
        <v>2022</v>
      </c>
      <c r="D31">
        <v>57.89</v>
      </c>
    </row>
    <row r="32" spans="1:4" x14ac:dyDescent="0.35">
      <c r="A32">
        <f>VLOOKUP(B32,'[1]Dane municipios'!$B$199:$C$321,2,0)</f>
        <v>15236</v>
      </c>
      <c r="B32" t="s">
        <v>60</v>
      </c>
      <c r="C32">
        <v>2022</v>
      </c>
      <c r="D32">
        <v>52.68</v>
      </c>
    </row>
    <row r="33" spans="1:4" x14ac:dyDescent="0.35">
      <c r="A33">
        <f>VLOOKUP(B33,'[1]Dane municipios'!$B$199:$C$321,2,0)</f>
        <v>15238</v>
      </c>
      <c r="B33" t="s">
        <v>61</v>
      </c>
      <c r="C33">
        <v>2022</v>
      </c>
      <c r="D33">
        <v>60.83</v>
      </c>
    </row>
    <row r="34" spans="1:4" x14ac:dyDescent="0.35">
      <c r="A34">
        <f>VLOOKUP(B34,'[1]Dane municipios'!$B$199:$C$321,2,0)</f>
        <v>15244</v>
      </c>
      <c r="B34" t="s">
        <v>62</v>
      </c>
      <c r="C34">
        <v>2022</v>
      </c>
      <c r="D34">
        <v>56.88</v>
      </c>
    </row>
    <row r="35" spans="1:4" x14ac:dyDescent="0.35">
      <c r="A35">
        <f>VLOOKUP(B35,'[1]Dane municipios'!$B$199:$C$321,2,0)</f>
        <v>15248</v>
      </c>
      <c r="B35" t="s">
        <v>63</v>
      </c>
      <c r="C35">
        <v>2022</v>
      </c>
      <c r="D35">
        <v>56.95</v>
      </c>
    </row>
    <row r="36" spans="1:4" x14ac:dyDescent="0.35">
      <c r="A36">
        <f>VLOOKUP(B36,'[1]Dane municipios'!$B$199:$C$321,2,0)</f>
        <v>15272</v>
      </c>
      <c r="B36" t="s">
        <v>64</v>
      </c>
      <c r="C36">
        <v>2022</v>
      </c>
      <c r="D36">
        <v>47.32</v>
      </c>
    </row>
    <row r="37" spans="1:4" x14ac:dyDescent="0.35">
      <c r="A37">
        <f>VLOOKUP(B37,'[1]Dane municipios'!$B$199:$C$321,2,0)</f>
        <v>15276</v>
      </c>
      <c r="B37" t="s">
        <v>65</v>
      </c>
      <c r="C37">
        <v>2022</v>
      </c>
      <c r="D37">
        <v>53.57</v>
      </c>
    </row>
    <row r="38" spans="1:4" x14ac:dyDescent="0.35">
      <c r="A38">
        <f>VLOOKUP(B38,'[1]Dane municipios'!$B$199:$C$321,2,0)</f>
        <v>15293</v>
      </c>
      <c r="B38" t="s">
        <v>150</v>
      </c>
      <c r="C38">
        <v>2022</v>
      </c>
      <c r="D38">
        <v>61.56</v>
      </c>
    </row>
    <row r="39" spans="1:4" x14ac:dyDescent="0.35">
      <c r="A39">
        <f>VLOOKUP(B39,'[1]Dane municipios'!$B$199:$C$321,2,0)</f>
        <v>15296</v>
      </c>
      <c r="B39" t="s">
        <v>151</v>
      </c>
      <c r="C39">
        <v>2022</v>
      </c>
      <c r="D39">
        <v>40.49</v>
      </c>
    </row>
    <row r="40" spans="1:4" x14ac:dyDescent="0.35">
      <c r="A40">
        <f>VLOOKUP(B40,'[1]Dane municipios'!$B$199:$C$321,2,0)</f>
        <v>15299</v>
      </c>
      <c r="B40" t="s">
        <v>66</v>
      </c>
      <c r="C40">
        <v>2022</v>
      </c>
      <c r="D40">
        <v>55.52</v>
      </c>
    </row>
    <row r="41" spans="1:4" x14ac:dyDescent="0.35">
      <c r="A41">
        <f>VLOOKUP(B41,'[1]Dane municipios'!$B$199:$C$321,2,0)</f>
        <v>15317</v>
      </c>
      <c r="B41" t="s">
        <v>67</v>
      </c>
      <c r="C41">
        <v>2022</v>
      </c>
      <c r="D41">
        <v>60.06</v>
      </c>
    </row>
    <row r="42" spans="1:4" x14ac:dyDescent="0.35">
      <c r="A42">
        <f>VLOOKUP(B42,'[1]Dane municipios'!$B$199:$C$321,2,0)</f>
        <v>15322</v>
      </c>
      <c r="B42" t="s">
        <v>68</v>
      </c>
      <c r="C42">
        <v>2022</v>
      </c>
      <c r="D42">
        <v>63.72</v>
      </c>
    </row>
    <row r="43" spans="1:4" x14ac:dyDescent="0.35">
      <c r="A43">
        <f>VLOOKUP(B43,'[1]Dane municipios'!$B$199:$C$321,2,0)</f>
        <v>15325</v>
      </c>
      <c r="B43" t="s">
        <v>152</v>
      </c>
      <c r="C43">
        <v>2022</v>
      </c>
      <c r="D43">
        <v>38.729999999999997</v>
      </c>
    </row>
    <row r="44" spans="1:4" x14ac:dyDescent="0.35">
      <c r="A44">
        <f>VLOOKUP(B44,'[1]Dane municipios'!$B$199:$C$321,2,0)</f>
        <v>15332</v>
      </c>
      <c r="B44" t="s">
        <v>153</v>
      </c>
      <c r="C44">
        <v>2022</v>
      </c>
      <c r="D44">
        <v>53.87</v>
      </c>
    </row>
    <row r="45" spans="1:4" x14ac:dyDescent="0.35">
      <c r="A45">
        <f>VLOOKUP(B45,'[1]Dane municipios'!$B$199:$C$321,2,0)</f>
        <v>15362</v>
      </c>
      <c r="B45" t="s">
        <v>69</v>
      </c>
      <c r="C45">
        <v>2022</v>
      </c>
      <c r="D45">
        <v>60.85</v>
      </c>
    </row>
    <row r="46" spans="1:4" x14ac:dyDescent="0.35">
      <c r="A46">
        <f>VLOOKUP(B46,'[1]Dane municipios'!$B$199:$C$321,2,0)</f>
        <v>15367</v>
      </c>
      <c r="B46" t="s">
        <v>70</v>
      </c>
      <c r="C46">
        <v>2022</v>
      </c>
      <c r="D46">
        <v>70.42</v>
      </c>
    </row>
    <row r="47" spans="1:4" x14ac:dyDescent="0.35">
      <c r="A47">
        <f>VLOOKUP(B47,'[1]Dane municipios'!$B$199:$C$321,2,0)</f>
        <v>15368</v>
      </c>
      <c r="B47" t="s">
        <v>154</v>
      </c>
      <c r="C47">
        <v>2022</v>
      </c>
      <c r="D47">
        <v>49.89</v>
      </c>
    </row>
    <row r="48" spans="1:4" x14ac:dyDescent="0.35">
      <c r="A48">
        <f>VLOOKUP(B48,'[1]Dane municipios'!$B$199:$C$321,2,0)</f>
        <v>15377</v>
      </c>
      <c r="B48" t="s">
        <v>71</v>
      </c>
      <c r="C48">
        <v>2022</v>
      </c>
      <c r="D48">
        <v>44.46</v>
      </c>
    </row>
    <row r="49" spans="1:4" x14ac:dyDescent="0.35">
      <c r="A49">
        <f>VLOOKUP(B49,'[1]Dane municipios'!$B$199:$C$321,2,0)</f>
        <v>15380</v>
      </c>
      <c r="B49" t="s">
        <v>72</v>
      </c>
      <c r="C49">
        <v>2022</v>
      </c>
      <c r="D49">
        <v>54.42</v>
      </c>
    </row>
    <row r="50" spans="1:4" x14ac:dyDescent="0.35">
      <c r="A50">
        <f>VLOOKUP(B50,'[1]Dane municipios'!$B$199:$C$321,2,0)</f>
        <v>15401</v>
      </c>
      <c r="B50" t="s">
        <v>73</v>
      </c>
      <c r="C50">
        <v>2022</v>
      </c>
      <c r="D50">
        <v>48.54</v>
      </c>
    </row>
    <row r="51" spans="1:4" x14ac:dyDescent="0.35">
      <c r="A51">
        <f>VLOOKUP(B51,'[1]Dane municipios'!$B$199:$C$321,2,0)</f>
        <v>15403</v>
      </c>
      <c r="B51" t="s">
        <v>74</v>
      </c>
      <c r="C51">
        <v>2022</v>
      </c>
      <c r="D51">
        <v>59.06</v>
      </c>
    </row>
    <row r="52" spans="1:4" x14ac:dyDescent="0.35">
      <c r="A52">
        <f>VLOOKUP(B52,'[1]Dane municipios'!$B$199:$C$321,2,0)</f>
        <v>15407</v>
      </c>
      <c r="B52" t="s">
        <v>75</v>
      </c>
      <c r="C52">
        <v>2022</v>
      </c>
      <c r="D52">
        <v>67.650000000000006</v>
      </c>
    </row>
    <row r="53" spans="1:4" x14ac:dyDescent="0.35">
      <c r="A53">
        <f>VLOOKUP(B53,'[1]Dane municipios'!$B$199:$C$321,2,0)</f>
        <v>15425</v>
      </c>
      <c r="B53" t="s">
        <v>76</v>
      </c>
      <c r="C53">
        <v>2022</v>
      </c>
      <c r="D53">
        <v>61.89</v>
      </c>
    </row>
    <row r="54" spans="1:4" x14ac:dyDescent="0.35">
      <c r="A54">
        <f>VLOOKUP(B54,'[1]Dane municipios'!$B$199:$C$321,2,0)</f>
        <v>15442</v>
      </c>
      <c r="B54" t="s">
        <v>155</v>
      </c>
      <c r="C54">
        <v>2022</v>
      </c>
      <c r="D54">
        <v>41.63</v>
      </c>
    </row>
    <row r="55" spans="1:4" x14ac:dyDescent="0.35">
      <c r="A55">
        <f>VLOOKUP(B55,'[1]Dane municipios'!$B$199:$C$321,2,0)</f>
        <v>15455</v>
      </c>
      <c r="B55" t="s">
        <v>77</v>
      </c>
      <c r="C55">
        <v>2022</v>
      </c>
      <c r="D55">
        <v>57.05</v>
      </c>
    </row>
    <row r="56" spans="1:4" x14ac:dyDescent="0.35">
      <c r="A56">
        <f>VLOOKUP(B56,'[1]Dane municipios'!$B$199:$C$321,2,0)</f>
        <v>15464</v>
      </c>
      <c r="B56" t="s">
        <v>78</v>
      </c>
      <c r="C56">
        <v>2022</v>
      </c>
      <c r="D56">
        <v>52.6</v>
      </c>
    </row>
    <row r="57" spans="1:4" x14ac:dyDescent="0.35">
      <c r="A57">
        <f>VLOOKUP(B57,'[1]Dane municipios'!$B$199:$C$321,2,0)</f>
        <v>15466</v>
      </c>
      <c r="B57" t="s">
        <v>156</v>
      </c>
      <c r="C57">
        <v>2022</v>
      </c>
      <c r="D57">
        <v>56.24</v>
      </c>
    </row>
    <row r="58" spans="1:4" x14ac:dyDescent="0.35">
      <c r="A58">
        <f>VLOOKUP(B58,'[1]Dane municipios'!$B$199:$C$321,2,0)</f>
        <v>15469</v>
      </c>
      <c r="B58" t="s">
        <v>157</v>
      </c>
      <c r="C58">
        <v>2022</v>
      </c>
      <c r="D58">
        <v>52.98</v>
      </c>
    </row>
    <row r="59" spans="1:4" x14ac:dyDescent="0.35">
      <c r="A59">
        <f>VLOOKUP(B59,'[1]Dane municipios'!$B$199:$C$321,2,0)</f>
        <v>15476</v>
      </c>
      <c r="B59" t="s">
        <v>79</v>
      </c>
      <c r="C59">
        <v>2022</v>
      </c>
      <c r="D59">
        <v>58.1</v>
      </c>
    </row>
    <row r="60" spans="1:4" x14ac:dyDescent="0.35">
      <c r="A60">
        <f>VLOOKUP(B60,'[1]Dane municipios'!$B$199:$C$321,2,0)</f>
        <v>15480</v>
      </c>
      <c r="B60" t="s">
        <v>80</v>
      </c>
      <c r="C60">
        <v>2022</v>
      </c>
      <c r="D60">
        <v>51.17</v>
      </c>
    </row>
    <row r="61" spans="1:4" x14ac:dyDescent="0.35">
      <c r="A61">
        <f>VLOOKUP(B61,'[1]Dane municipios'!$B$199:$C$321,2,0)</f>
        <v>15491</v>
      </c>
      <c r="B61" t="s">
        <v>81</v>
      </c>
      <c r="C61">
        <v>2022</v>
      </c>
      <c r="D61">
        <v>65.510000000000005</v>
      </c>
    </row>
    <row r="62" spans="1:4" x14ac:dyDescent="0.35">
      <c r="A62">
        <f>VLOOKUP(B62,'[1]Dane municipios'!$B$199:$C$321,2,0)</f>
        <v>15494</v>
      </c>
      <c r="B62" t="s">
        <v>158</v>
      </c>
      <c r="C62">
        <v>2022</v>
      </c>
      <c r="D62">
        <v>57.09</v>
      </c>
    </row>
    <row r="63" spans="1:4" x14ac:dyDescent="0.35">
      <c r="A63">
        <f>VLOOKUP(B63,'[1]Dane municipios'!$B$199:$C$321,2,0)</f>
        <v>15500</v>
      </c>
      <c r="B63" t="s">
        <v>159</v>
      </c>
      <c r="C63">
        <v>2022</v>
      </c>
      <c r="D63">
        <v>65.540000000000006</v>
      </c>
    </row>
    <row r="64" spans="1:4" x14ac:dyDescent="0.35">
      <c r="A64">
        <f>VLOOKUP(B64,'[1]Dane municipios'!$B$199:$C$321,2,0)</f>
        <v>15507</v>
      </c>
      <c r="B64" t="s">
        <v>82</v>
      </c>
      <c r="C64">
        <v>2022</v>
      </c>
      <c r="D64">
        <v>44.67</v>
      </c>
    </row>
    <row r="65" spans="1:4" x14ac:dyDescent="0.35">
      <c r="A65">
        <f>VLOOKUP(B65,'[1]Dane municipios'!$B$199:$C$321,2,0)</f>
        <v>15511</v>
      </c>
      <c r="B65" t="s">
        <v>83</v>
      </c>
      <c r="C65">
        <v>2022</v>
      </c>
      <c r="D65">
        <v>50.08</v>
      </c>
    </row>
    <row r="66" spans="1:4" x14ac:dyDescent="0.35">
      <c r="A66">
        <f>VLOOKUP(B66,'[1]Dane municipios'!$B$199:$C$321,2,0)</f>
        <v>15514</v>
      </c>
      <c r="B66" t="s">
        <v>160</v>
      </c>
      <c r="C66">
        <v>2022</v>
      </c>
      <c r="D66">
        <v>54.81</v>
      </c>
    </row>
    <row r="67" spans="1:4" x14ac:dyDescent="0.35">
      <c r="A67">
        <f>VLOOKUP(B67,'[1]Dane municipios'!$B$199:$C$321,2,0)</f>
        <v>15516</v>
      </c>
      <c r="B67" t="s">
        <v>84</v>
      </c>
      <c r="C67">
        <v>2022</v>
      </c>
      <c r="D67">
        <v>63.28</v>
      </c>
    </row>
    <row r="68" spans="1:4" x14ac:dyDescent="0.35">
      <c r="A68">
        <f>VLOOKUP(B68,'[1]Dane municipios'!$B$199:$C$321,2,0)</f>
        <v>15518</v>
      </c>
      <c r="B68" t="s">
        <v>85</v>
      </c>
      <c r="C68">
        <v>2022</v>
      </c>
      <c r="D68">
        <v>41.74</v>
      </c>
    </row>
    <row r="69" spans="1:4" x14ac:dyDescent="0.35">
      <c r="A69">
        <f>VLOOKUP(B69,'[1]Dane municipios'!$B$199:$C$321,2,0)</f>
        <v>15522</v>
      </c>
      <c r="B69" t="s">
        <v>86</v>
      </c>
      <c r="C69">
        <v>2022</v>
      </c>
      <c r="D69">
        <v>56.79</v>
      </c>
    </row>
    <row r="70" spans="1:4" x14ac:dyDescent="0.35">
      <c r="A70">
        <f>VLOOKUP(B70,'[1]Dane municipios'!$B$199:$C$321,2,0)</f>
        <v>15531</v>
      </c>
      <c r="B70" t="s">
        <v>87</v>
      </c>
      <c r="C70">
        <v>2022</v>
      </c>
      <c r="D70">
        <v>54.74</v>
      </c>
    </row>
    <row r="71" spans="1:4" x14ac:dyDescent="0.35">
      <c r="A71">
        <f>VLOOKUP(B71,'[1]Dane municipios'!$B$199:$C$321,2,0)</f>
        <v>15533</v>
      </c>
      <c r="B71" t="s">
        <v>88</v>
      </c>
      <c r="C71">
        <v>2022</v>
      </c>
      <c r="D71">
        <v>56.48</v>
      </c>
    </row>
    <row r="72" spans="1:4" x14ac:dyDescent="0.35">
      <c r="A72">
        <f>VLOOKUP(B72,'[1]Dane municipios'!$B$199:$C$321,2,0)</f>
        <v>15537</v>
      </c>
      <c r="B72" t="s">
        <v>161</v>
      </c>
      <c r="C72">
        <v>2022</v>
      </c>
      <c r="D72">
        <v>54.06</v>
      </c>
    </row>
    <row r="73" spans="1:4" x14ac:dyDescent="0.35">
      <c r="A73">
        <f>VLOOKUP(B73,'[1]Dane municipios'!$B$199:$C$321,2,0)</f>
        <v>15542</v>
      </c>
      <c r="B73" t="s">
        <v>89</v>
      </c>
      <c r="C73">
        <v>2022</v>
      </c>
      <c r="D73">
        <v>54.1</v>
      </c>
    </row>
    <row r="74" spans="1:4" x14ac:dyDescent="0.35">
      <c r="A74">
        <f>VLOOKUP(B74,'[1]Dane municipios'!$B$199:$C$321,2,0)</f>
        <v>15550</v>
      </c>
      <c r="B74" t="s">
        <v>90</v>
      </c>
      <c r="C74">
        <v>2022</v>
      </c>
      <c r="D74">
        <v>47.57</v>
      </c>
    </row>
    <row r="75" spans="1:4" x14ac:dyDescent="0.35">
      <c r="A75">
        <f>VLOOKUP(B75,'[1]Dane municipios'!$B$199:$C$321,2,0)</f>
        <v>15572</v>
      </c>
      <c r="B75" t="s">
        <v>138</v>
      </c>
      <c r="C75">
        <v>2022</v>
      </c>
      <c r="D75">
        <v>60.91</v>
      </c>
    </row>
    <row r="76" spans="1:4" x14ac:dyDescent="0.35">
      <c r="A76">
        <f>VLOOKUP(B76,'[1]Dane municipios'!$B$199:$C$321,2,0)</f>
        <v>15580</v>
      </c>
      <c r="B76" t="s">
        <v>162</v>
      </c>
      <c r="C76">
        <v>2022</v>
      </c>
      <c r="D76">
        <v>39.24</v>
      </c>
    </row>
    <row r="77" spans="1:4" x14ac:dyDescent="0.35">
      <c r="A77">
        <f>VLOOKUP(B77,'[1]Dane municipios'!$B$199:$C$321,2,0)</f>
        <v>15599</v>
      </c>
      <c r="B77" t="s">
        <v>163</v>
      </c>
      <c r="C77">
        <v>2022</v>
      </c>
      <c r="D77">
        <v>60.21</v>
      </c>
    </row>
    <row r="78" spans="1:4" x14ac:dyDescent="0.35">
      <c r="A78">
        <f>VLOOKUP(B78,'[1]Dane municipios'!$B$199:$C$321,2,0)</f>
        <v>15600</v>
      </c>
      <c r="B78" t="s">
        <v>164</v>
      </c>
      <c r="C78">
        <v>2022</v>
      </c>
      <c r="D78">
        <v>58.3</v>
      </c>
    </row>
    <row r="79" spans="1:4" x14ac:dyDescent="0.35">
      <c r="A79">
        <f>VLOOKUP(B79,'[1]Dane municipios'!$B$199:$C$321,2,0)</f>
        <v>15621</v>
      </c>
      <c r="B79" t="s">
        <v>165</v>
      </c>
      <c r="C79">
        <v>2022</v>
      </c>
      <c r="D79">
        <v>56.71</v>
      </c>
    </row>
    <row r="80" spans="1:4" x14ac:dyDescent="0.35">
      <c r="A80">
        <f>VLOOKUP(B80,'[1]Dane municipios'!$B$199:$C$321,2,0)</f>
        <v>15632</v>
      </c>
      <c r="B80" t="s">
        <v>166</v>
      </c>
      <c r="C80">
        <v>2022</v>
      </c>
      <c r="D80">
        <v>61.01</v>
      </c>
    </row>
    <row r="81" spans="1:4" x14ac:dyDescent="0.35">
      <c r="A81">
        <f>VLOOKUP(B81,'[1]Dane municipios'!$B$199:$C$321,2,0)</f>
        <v>15638</v>
      </c>
      <c r="B81" t="s">
        <v>167</v>
      </c>
      <c r="C81">
        <v>2022</v>
      </c>
      <c r="D81">
        <v>59.37</v>
      </c>
    </row>
    <row r="82" spans="1:4" x14ac:dyDescent="0.35">
      <c r="A82">
        <f>VLOOKUP(B82,'[1]Dane municipios'!$B$199:$C$321,2,0)</f>
        <v>15646</v>
      </c>
      <c r="B82" t="s">
        <v>168</v>
      </c>
      <c r="C82">
        <v>2022</v>
      </c>
      <c r="D82">
        <v>57.83</v>
      </c>
    </row>
    <row r="83" spans="1:4" x14ac:dyDescent="0.35">
      <c r="A83">
        <f>VLOOKUP(B83,'[1]Dane municipios'!$B$199:$C$321,2,0)</f>
        <v>15660</v>
      </c>
      <c r="B83" t="s">
        <v>91</v>
      </c>
      <c r="C83">
        <v>2022</v>
      </c>
      <c r="D83">
        <v>60.59</v>
      </c>
    </row>
    <row r="84" spans="1:4" x14ac:dyDescent="0.35">
      <c r="A84">
        <f>VLOOKUP(B84,'[1]Dane municipios'!$B$199:$C$321,2,0)</f>
        <v>15664</v>
      </c>
      <c r="B84" t="s">
        <v>169</v>
      </c>
      <c r="C84">
        <v>2022</v>
      </c>
      <c r="D84">
        <v>50.99</v>
      </c>
    </row>
    <row r="85" spans="1:4" x14ac:dyDescent="0.35">
      <c r="A85">
        <f>VLOOKUP(B85,'[1]Dane municipios'!$B$199:$C$321,2,0)</f>
        <v>15667</v>
      </c>
      <c r="B85" t="s">
        <v>92</v>
      </c>
      <c r="C85">
        <v>2022</v>
      </c>
      <c r="D85">
        <v>59.48</v>
      </c>
    </row>
    <row r="86" spans="1:4" x14ac:dyDescent="0.35">
      <c r="A86">
        <f>VLOOKUP(B86,'[1]Dane municipios'!$B$199:$C$321,2,0)</f>
        <v>15673</v>
      </c>
      <c r="B86" t="s">
        <v>93</v>
      </c>
      <c r="C86">
        <v>2022</v>
      </c>
      <c r="D86">
        <v>45.91</v>
      </c>
    </row>
    <row r="87" spans="1:4" x14ac:dyDescent="0.35">
      <c r="A87">
        <f>VLOOKUP(B87,'[1]Dane municipios'!$B$199:$C$321,2,0)</f>
        <v>15676</v>
      </c>
      <c r="B87" t="s">
        <v>94</v>
      </c>
      <c r="C87">
        <v>2022</v>
      </c>
      <c r="D87">
        <v>70.63</v>
      </c>
    </row>
    <row r="88" spans="1:4" x14ac:dyDescent="0.35">
      <c r="A88">
        <f>VLOOKUP(B88,'[1]Dane municipios'!$B$199:$C$321,2,0)</f>
        <v>15681</v>
      </c>
      <c r="B88" t="s">
        <v>95</v>
      </c>
      <c r="C88">
        <v>2022</v>
      </c>
      <c r="D88">
        <v>42.6</v>
      </c>
    </row>
    <row r="89" spans="1:4" x14ac:dyDescent="0.35">
      <c r="A89">
        <f>VLOOKUP(B89,'[1]Dane municipios'!$B$199:$C$321,2,0)</f>
        <v>15686</v>
      </c>
      <c r="B89" t="s">
        <v>96</v>
      </c>
      <c r="C89">
        <v>2022</v>
      </c>
      <c r="D89">
        <v>53.57</v>
      </c>
    </row>
    <row r="90" spans="1:4" x14ac:dyDescent="0.35">
      <c r="A90">
        <f>VLOOKUP(B90,'[1]Dane municipios'!$B$199:$C$321,2,0)</f>
        <v>15690</v>
      </c>
      <c r="B90" t="s">
        <v>170</v>
      </c>
      <c r="C90">
        <v>2022</v>
      </c>
      <c r="D90">
        <v>53.5</v>
      </c>
    </row>
    <row r="91" spans="1:4" x14ac:dyDescent="0.35">
      <c r="A91">
        <f>VLOOKUP(B91,'[1]Dane municipios'!$B$199:$C$321,2,0)</f>
        <v>15693</v>
      </c>
      <c r="B91" t="s">
        <v>97</v>
      </c>
      <c r="C91">
        <v>2022</v>
      </c>
      <c r="D91">
        <v>49.71</v>
      </c>
    </row>
    <row r="92" spans="1:4" x14ac:dyDescent="0.35">
      <c r="A92">
        <f>VLOOKUP(B92,'[1]Dane municipios'!$B$199:$C$321,2,0)</f>
        <v>15696</v>
      </c>
      <c r="B92" t="s">
        <v>171</v>
      </c>
      <c r="C92">
        <v>2022</v>
      </c>
      <c r="D92">
        <v>63.49</v>
      </c>
    </row>
    <row r="93" spans="1:4" x14ac:dyDescent="0.35">
      <c r="A93">
        <f>VLOOKUP(B93,'[1]Dane municipios'!$B$199:$C$321,2,0)</f>
        <v>15720</v>
      </c>
      <c r="B93" t="s">
        <v>98</v>
      </c>
      <c r="C93">
        <v>2022</v>
      </c>
      <c r="D93">
        <v>54.96</v>
      </c>
    </row>
    <row r="94" spans="1:4" x14ac:dyDescent="0.35">
      <c r="A94">
        <f>VLOOKUP(B94,'[1]Dane municipios'!$B$199:$C$321,2,0)</f>
        <v>15723</v>
      </c>
      <c r="B94" t="s">
        <v>99</v>
      </c>
      <c r="C94">
        <v>2022</v>
      </c>
      <c r="D94">
        <v>43.39</v>
      </c>
    </row>
    <row r="95" spans="1:4" x14ac:dyDescent="0.35">
      <c r="A95">
        <f>VLOOKUP(B95,'[1]Dane municipios'!$B$199:$C$321,2,0)</f>
        <v>15740</v>
      </c>
      <c r="B95" t="s">
        <v>100</v>
      </c>
      <c r="C95">
        <v>2022</v>
      </c>
      <c r="D95">
        <v>64.2</v>
      </c>
    </row>
    <row r="96" spans="1:4" x14ac:dyDescent="0.35">
      <c r="A96">
        <f>VLOOKUP(B96,'[1]Dane municipios'!$B$199:$C$321,2,0)</f>
        <v>15753</v>
      </c>
      <c r="B96" t="s">
        <v>172</v>
      </c>
      <c r="C96">
        <v>2022</v>
      </c>
      <c r="D96">
        <v>58.23</v>
      </c>
    </row>
    <row r="97" spans="1:4" x14ac:dyDescent="0.35">
      <c r="A97">
        <f>VLOOKUP(B97,'[1]Dane municipios'!$B$199:$C$321,2,0)</f>
        <v>15755</v>
      </c>
      <c r="B97" t="s">
        <v>173</v>
      </c>
      <c r="C97">
        <v>2022</v>
      </c>
      <c r="D97">
        <v>48.84</v>
      </c>
    </row>
    <row r="98" spans="1:4" x14ac:dyDescent="0.35">
      <c r="A98">
        <f>VLOOKUP(B98,'[1]Dane municipios'!$B$199:$C$321,2,0)</f>
        <v>15757</v>
      </c>
      <c r="B98" t="s">
        <v>101</v>
      </c>
      <c r="C98">
        <v>2022</v>
      </c>
      <c r="D98">
        <v>62.84</v>
      </c>
    </row>
    <row r="99" spans="1:4" x14ac:dyDescent="0.35">
      <c r="A99">
        <f>VLOOKUP(B99,'[1]Dane municipios'!$B$199:$C$321,2,0)</f>
        <v>15759</v>
      </c>
      <c r="B99" t="s">
        <v>102</v>
      </c>
      <c r="C99">
        <v>2022</v>
      </c>
      <c r="D99">
        <v>64.06</v>
      </c>
    </row>
    <row r="100" spans="1:4" x14ac:dyDescent="0.35">
      <c r="A100">
        <f>VLOOKUP(B100,'[1]Dane municipios'!$B$199:$C$321,2,0)</f>
        <v>15761</v>
      </c>
      <c r="B100" t="s">
        <v>103</v>
      </c>
      <c r="C100">
        <v>2022</v>
      </c>
      <c r="D100">
        <v>46.96</v>
      </c>
    </row>
    <row r="101" spans="1:4" x14ac:dyDescent="0.35">
      <c r="A101">
        <f>VLOOKUP(B101,'[1]Dane municipios'!$B$199:$C$321,2,0)</f>
        <v>15762</v>
      </c>
      <c r="B101" t="s">
        <v>104</v>
      </c>
      <c r="C101">
        <v>2022</v>
      </c>
      <c r="D101">
        <v>59.7</v>
      </c>
    </row>
    <row r="102" spans="1:4" x14ac:dyDescent="0.35">
      <c r="A102">
        <f>VLOOKUP(B102,'[1]Dane municipios'!$B$199:$C$321,2,0)</f>
        <v>15763</v>
      </c>
      <c r="B102" t="s">
        <v>174</v>
      </c>
      <c r="C102">
        <v>2022</v>
      </c>
      <c r="D102">
        <v>50.18</v>
      </c>
    </row>
    <row r="103" spans="1:4" x14ac:dyDescent="0.35">
      <c r="A103">
        <f>VLOOKUP(B103,'[1]Dane municipios'!$B$199:$C$321,2,0)</f>
        <v>15764</v>
      </c>
      <c r="B103" t="s">
        <v>175</v>
      </c>
      <c r="C103">
        <v>2022</v>
      </c>
      <c r="D103">
        <v>56.77</v>
      </c>
    </row>
    <row r="104" spans="1:4" x14ac:dyDescent="0.35">
      <c r="A104">
        <f>VLOOKUP(B104,'[1]Dane municipios'!$B$199:$C$321,2,0)</f>
        <v>15774</v>
      </c>
      <c r="B104" t="s">
        <v>176</v>
      </c>
      <c r="C104">
        <v>2022</v>
      </c>
      <c r="D104">
        <v>46.69</v>
      </c>
    </row>
    <row r="105" spans="1:4" x14ac:dyDescent="0.35">
      <c r="A105">
        <f>VLOOKUP(B105,'[1]Dane municipios'!$B$199:$C$321,2,0)</f>
        <v>15776</v>
      </c>
      <c r="B105" t="s">
        <v>177</v>
      </c>
      <c r="C105">
        <v>2022</v>
      </c>
      <c r="D105">
        <v>62.42</v>
      </c>
    </row>
    <row r="106" spans="1:4" x14ac:dyDescent="0.35">
      <c r="A106">
        <f>VLOOKUP(B106,'[1]Dane municipios'!$B$199:$C$321,2,0)</f>
        <v>15778</v>
      </c>
      <c r="B106" t="s">
        <v>105</v>
      </c>
      <c r="C106">
        <v>2022</v>
      </c>
      <c r="D106">
        <v>54.84</v>
      </c>
    </row>
    <row r="107" spans="1:4" x14ac:dyDescent="0.35">
      <c r="A107">
        <f>VLOOKUP(B107,'[1]Dane municipios'!$B$199:$C$321,2,0)</f>
        <v>15790</v>
      </c>
      <c r="B107" t="s">
        <v>106</v>
      </c>
      <c r="C107">
        <v>2022</v>
      </c>
      <c r="D107">
        <v>58.84</v>
      </c>
    </row>
    <row r="108" spans="1:4" x14ac:dyDescent="0.35">
      <c r="A108">
        <f>VLOOKUP(B108,'[1]Dane municipios'!$B$199:$C$321,2,0)</f>
        <v>15798</v>
      </c>
      <c r="B108" t="s">
        <v>107</v>
      </c>
      <c r="C108">
        <v>2022</v>
      </c>
      <c r="D108">
        <v>49.09</v>
      </c>
    </row>
    <row r="109" spans="1:4" x14ac:dyDescent="0.35">
      <c r="A109">
        <f>VLOOKUP(B109,'[1]Dane municipios'!$B$199:$C$321,2,0)</f>
        <v>15804</v>
      </c>
      <c r="B109" t="s">
        <v>178</v>
      </c>
      <c r="C109">
        <v>2022</v>
      </c>
      <c r="D109">
        <v>62.76</v>
      </c>
    </row>
    <row r="110" spans="1:4" x14ac:dyDescent="0.35">
      <c r="A110">
        <f>VLOOKUP(B110,'[1]Dane municipios'!$B$199:$C$321,2,0)</f>
        <v>15806</v>
      </c>
      <c r="B110" t="s">
        <v>108</v>
      </c>
      <c r="C110">
        <v>2022</v>
      </c>
      <c r="D110">
        <v>66.78</v>
      </c>
    </row>
    <row r="111" spans="1:4" x14ac:dyDescent="0.35">
      <c r="A111">
        <f>VLOOKUP(B111,'[1]Dane municipios'!$B$199:$C$321,2,0)</f>
        <v>15808</v>
      </c>
      <c r="B111" t="s">
        <v>179</v>
      </c>
      <c r="C111">
        <v>2022</v>
      </c>
      <c r="D111">
        <v>51.64</v>
      </c>
    </row>
    <row r="112" spans="1:4" x14ac:dyDescent="0.35">
      <c r="A112">
        <f>VLOOKUP(B112,'[1]Dane municipios'!$B$199:$C$321,2,0)</f>
        <v>15810</v>
      </c>
      <c r="B112" t="s">
        <v>109</v>
      </c>
      <c r="C112">
        <v>2022</v>
      </c>
      <c r="D112">
        <v>48.76</v>
      </c>
    </row>
    <row r="113" spans="1:4" x14ac:dyDescent="0.35">
      <c r="A113">
        <f>VLOOKUP(B113,'[1]Dane municipios'!$B$199:$C$321,2,0)</f>
        <v>15814</v>
      </c>
      <c r="B113" t="s">
        <v>110</v>
      </c>
      <c r="C113">
        <v>2022</v>
      </c>
      <c r="D113">
        <v>54.05</v>
      </c>
    </row>
    <row r="114" spans="1:4" x14ac:dyDescent="0.35">
      <c r="A114">
        <f>VLOOKUP(B114,'[1]Dane municipios'!$B$199:$C$321,2,0)</f>
        <v>15816</v>
      </c>
      <c r="B114" t="s">
        <v>180</v>
      </c>
      <c r="C114">
        <v>2022</v>
      </c>
      <c r="D114">
        <v>51.25</v>
      </c>
    </row>
    <row r="115" spans="1:4" x14ac:dyDescent="0.35">
      <c r="A115">
        <f>VLOOKUP(B115,'[1]Dane municipios'!$B$199:$C$321,2,0)</f>
        <v>15820</v>
      </c>
      <c r="B115" t="s">
        <v>181</v>
      </c>
      <c r="C115">
        <v>2022</v>
      </c>
      <c r="D115">
        <v>63.45</v>
      </c>
    </row>
    <row r="116" spans="1:4" x14ac:dyDescent="0.35">
      <c r="A116">
        <f>VLOOKUP(B116,'[1]Dane municipios'!$B$199:$C$321,2,0)</f>
        <v>15822</v>
      </c>
      <c r="B116" t="s">
        <v>111</v>
      </c>
      <c r="C116">
        <v>2022</v>
      </c>
      <c r="D116">
        <v>55.46</v>
      </c>
    </row>
    <row r="117" spans="1:4" x14ac:dyDescent="0.35">
      <c r="A117">
        <f>VLOOKUP(B117,'[1]Dane municipios'!$B$199:$C$321,2,0)</f>
        <v>15832</v>
      </c>
      <c r="B117" t="s">
        <v>182</v>
      </c>
      <c r="C117">
        <v>2022</v>
      </c>
      <c r="D117">
        <v>33.07</v>
      </c>
    </row>
    <row r="118" spans="1:4" x14ac:dyDescent="0.35">
      <c r="A118">
        <f>VLOOKUP(B118,'[1]Dane municipios'!$B$199:$C$321,2,0)</f>
        <v>15835</v>
      </c>
      <c r="B118" t="s">
        <v>183</v>
      </c>
      <c r="C118">
        <v>2022</v>
      </c>
      <c r="D118">
        <v>48.21</v>
      </c>
    </row>
    <row r="119" spans="1:4" x14ac:dyDescent="0.35">
      <c r="A119">
        <f>VLOOKUP(B119,'[1]Dane municipios'!$B$199:$C$321,2,0)</f>
        <v>15837</v>
      </c>
      <c r="B119" t="s">
        <v>112</v>
      </c>
      <c r="C119">
        <v>2022</v>
      </c>
      <c r="D119">
        <v>62.88</v>
      </c>
    </row>
    <row r="120" spans="1:4" x14ac:dyDescent="0.35">
      <c r="A120">
        <f>VLOOKUP(B120,'[1]Dane municipios'!$B$199:$C$321,2,0)</f>
        <v>15839</v>
      </c>
      <c r="B120" t="s">
        <v>184</v>
      </c>
      <c r="C120">
        <v>2022</v>
      </c>
      <c r="D120">
        <v>58.04</v>
      </c>
    </row>
    <row r="121" spans="1:4" x14ac:dyDescent="0.35">
      <c r="A121">
        <f>VLOOKUP(B121,'[1]Dane municipios'!$B$199:$C$321,2,0)</f>
        <v>15842</v>
      </c>
      <c r="B121" t="s">
        <v>185</v>
      </c>
      <c r="C121">
        <v>2022</v>
      </c>
      <c r="D121">
        <v>53.72</v>
      </c>
    </row>
    <row r="122" spans="1:4" x14ac:dyDescent="0.35">
      <c r="A122">
        <f>VLOOKUP(B122,'[1]Dane municipios'!$B$199:$C$321,2,0)</f>
        <v>15861</v>
      </c>
      <c r="B122" t="s">
        <v>113</v>
      </c>
      <c r="C122">
        <v>2022</v>
      </c>
      <c r="D122">
        <v>53.79</v>
      </c>
    </row>
    <row r="123" spans="1:4" x14ac:dyDescent="0.35">
      <c r="A123">
        <f>VLOOKUP(B123,'[1]Dane municipios'!$B$199:$C$321,2,0)</f>
        <v>15879</v>
      </c>
      <c r="B123" t="s">
        <v>186</v>
      </c>
      <c r="C123">
        <v>2022</v>
      </c>
      <c r="D123">
        <v>53.35</v>
      </c>
    </row>
    <row r="124" spans="1:4" x14ac:dyDescent="0.35">
      <c r="A124">
        <f>VLOOKUP(B124,'[1]Dane municipios'!$B$199:$C$321,2,0)</f>
        <v>15897</v>
      </c>
      <c r="B124" t="s">
        <v>114</v>
      </c>
      <c r="C124">
        <v>2022</v>
      </c>
      <c r="D124">
        <v>64.84</v>
      </c>
    </row>
    <row r="125" spans="1:4" x14ac:dyDescent="0.35">
      <c r="A125">
        <f>VLOOKUP(B125,'[1]Dane municipios'!$B$199:$C$321,2,0)</f>
        <v>15001</v>
      </c>
      <c r="B125" t="s">
        <v>42</v>
      </c>
      <c r="C125">
        <v>2023</v>
      </c>
      <c r="D125">
        <v>72.349999999999994</v>
      </c>
    </row>
    <row r="126" spans="1:4" x14ac:dyDescent="0.35">
      <c r="A126">
        <f>VLOOKUP(B126,'[1]Dane municipios'!$B$199:$C$321,2,0)</f>
        <v>15022</v>
      </c>
      <c r="B126" t="s">
        <v>43</v>
      </c>
      <c r="C126">
        <v>2023</v>
      </c>
      <c r="D126">
        <v>50.94</v>
      </c>
    </row>
    <row r="127" spans="1:4" x14ac:dyDescent="0.35">
      <c r="A127">
        <f>VLOOKUP(B127,'[1]Dane municipios'!$B$199:$C$321,2,0)</f>
        <v>15047</v>
      </c>
      <c r="B127" t="s">
        <v>44</v>
      </c>
      <c r="C127">
        <v>2023</v>
      </c>
      <c r="D127">
        <v>55.57</v>
      </c>
    </row>
    <row r="128" spans="1:4" x14ac:dyDescent="0.35">
      <c r="A128">
        <f>VLOOKUP(B128,'[1]Dane municipios'!$B$199:$C$321,2,0)</f>
        <v>15051</v>
      </c>
      <c r="B128" t="s">
        <v>45</v>
      </c>
      <c r="C128">
        <v>2023</v>
      </c>
      <c r="D128">
        <v>59.57</v>
      </c>
    </row>
    <row r="129" spans="1:4" x14ac:dyDescent="0.35">
      <c r="A129">
        <f>VLOOKUP(B129,'[1]Dane municipios'!$B$199:$C$321,2,0)</f>
        <v>15087</v>
      </c>
      <c r="B129" t="s">
        <v>135</v>
      </c>
      <c r="C129">
        <v>2023</v>
      </c>
      <c r="D129">
        <v>50.12</v>
      </c>
    </row>
    <row r="130" spans="1:4" x14ac:dyDescent="0.35">
      <c r="A130">
        <f>VLOOKUP(B130,'[1]Dane municipios'!$B$199:$C$321,2,0)</f>
        <v>15090</v>
      </c>
      <c r="B130" t="s">
        <v>46</v>
      </c>
      <c r="C130">
        <v>2023</v>
      </c>
      <c r="D130">
        <v>61.94</v>
      </c>
    </row>
    <row r="131" spans="1:4" x14ac:dyDescent="0.35">
      <c r="A131">
        <f>VLOOKUP(B131,'[1]Dane municipios'!$B$199:$C$321,2,0)</f>
        <v>15092</v>
      </c>
      <c r="B131" t="s">
        <v>136</v>
      </c>
      <c r="C131">
        <v>2023</v>
      </c>
      <c r="D131">
        <v>66.28</v>
      </c>
    </row>
    <row r="132" spans="1:4" x14ac:dyDescent="0.35">
      <c r="A132">
        <f>VLOOKUP(B132,'[1]Dane municipios'!$B$199:$C$321,2,0)</f>
        <v>15097</v>
      </c>
      <c r="B132" t="s">
        <v>47</v>
      </c>
      <c r="C132">
        <v>2023</v>
      </c>
      <c r="D132">
        <v>47.71</v>
      </c>
    </row>
    <row r="133" spans="1:4" x14ac:dyDescent="0.35">
      <c r="A133">
        <f>VLOOKUP(B133,'[1]Dane municipios'!$B$199:$C$321,2,0)</f>
        <v>15104</v>
      </c>
      <c r="B133" t="s">
        <v>137</v>
      </c>
      <c r="C133">
        <v>2023</v>
      </c>
      <c r="D133">
        <v>57.41</v>
      </c>
    </row>
    <row r="134" spans="1:4" x14ac:dyDescent="0.35">
      <c r="A134">
        <f>VLOOKUP(B134,'[1]Dane municipios'!$B$199:$C$321,2,0)</f>
        <v>15106</v>
      </c>
      <c r="B134" t="s">
        <v>48</v>
      </c>
      <c r="C134">
        <v>2023</v>
      </c>
      <c r="D134">
        <v>57.43</v>
      </c>
    </row>
    <row r="135" spans="1:4" x14ac:dyDescent="0.35">
      <c r="A135">
        <f>VLOOKUP(B135,'[1]Dane municipios'!$B$199:$C$321,2,0)</f>
        <v>15109</v>
      </c>
      <c r="B135" t="s">
        <v>49</v>
      </c>
      <c r="C135">
        <v>2023</v>
      </c>
      <c r="D135">
        <v>58.45</v>
      </c>
    </row>
    <row r="136" spans="1:4" x14ac:dyDescent="0.35">
      <c r="A136">
        <f>VLOOKUP(B136,'[1]Dane municipios'!$B$199:$C$321,2,0)</f>
        <v>15114</v>
      </c>
      <c r="B136" t="s">
        <v>141</v>
      </c>
      <c r="C136">
        <v>2023</v>
      </c>
      <c r="D136">
        <v>64.88</v>
      </c>
    </row>
    <row r="137" spans="1:4" x14ac:dyDescent="0.35">
      <c r="A137">
        <f>VLOOKUP(B137,'[1]Dane municipios'!$B$199:$C$321,2,0)</f>
        <v>15131</v>
      </c>
      <c r="B137" t="s">
        <v>50</v>
      </c>
      <c r="C137">
        <v>2023</v>
      </c>
      <c r="D137">
        <v>57.56</v>
      </c>
    </row>
    <row r="138" spans="1:4" x14ac:dyDescent="0.35">
      <c r="A138">
        <f>VLOOKUP(B138,'[1]Dane municipios'!$B$199:$C$321,2,0)</f>
        <v>15135</v>
      </c>
      <c r="B138" t="s">
        <v>51</v>
      </c>
      <c r="C138">
        <v>2023</v>
      </c>
      <c r="D138">
        <v>62.01</v>
      </c>
    </row>
    <row r="139" spans="1:4" x14ac:dyDescent="0.35">
      <c r="A139">
        <f>VLOOKUP(B139,'[1]Dane municipios'!$B$199:$C$321,2,0)</f>
        <v>15162</v>
      </c>
      <c r="B139" t="s">
        <v>52</v>
      </c>
      <c r="C139">
        <v>2023</v>
      </c>
      <c r="D139">
        <v>54.25</v>
      </c>
    </row>
    <row r="140" spans="1:4" x14ac:dyDescent="0.35">
      <c r="A140">
        <f>VLOOKUP(B140,'[1]Dane municipios'!$B$199:$C$321,2,0)</f>
        <v>15172</v>
      </c>
      <c r="B140" t="s">
        <v>53</v>
      </c>
      <c r="C140">
        <v>2023</v>
      </c>
      <c r="D140">
        <v>53.52</v>
      </c>
    </row>
    <row r="141" spans="1:4" x14ac:dyDescent="0.35">
      <c r="A141">
        <f>VLOOKUP(B141,'[1]Dane municipios'!$B$199:$C$321,2,0)</f>
        <v>15176</v>
      </c>
      <c r="B141" t="s">
        <v>142</v>
      </c>
      <c r="C141">
        <v>2023</v>
      </c>
      <c r="D141">
        <v>61</v>
      </c>
    </row>
    <row r="142" spans="1:4" x14ac:dyDescent="0.35">
      <c r="A142">
        <f>VLOOKUP(B142,'[1]Dane municipios'!$B$199:$C$321,2,0)</f>
        <v>15180</v>
      </c>
      <c r="B142" t="s">
        <v>54</v>
      </c>
      <c r="C142">
        <v>2023</v>
      </c>
      <c r="D142">
        <v>52.67</v>
      </c>
    </row>
    <row r="143" spans="1:4" x14ac:dyDescent="0.35">
      <c r="A143">
        <f>VLOOKUP(B143,'[1]Dane municipios'!$B$199:$C$321,2,0)</f>
        <v>15183</v>
      </c>
      <c r="B143" t="s">
        <v>55</v>
      </c>
      <c r="C143">
        <v>2023</v>
      </c>
      <c r="D143">
        <v>44.03</v>
      </c>
    </row>
    <row r="144" spans="1:4" x14ac:dyDescent="0.35">
      <c r="A144">
        <f>VLOOKUP(B144,'[1]Dane municipios'!$B$199:$C$321,2,0)</f>
        <v>15185</v>
      </c>
      <c r="B144" t="s">
        <v>56</v>
      </c>
      <c r="C144">
        <v>2023</v>
      </c>
      <c r="D144">
        <v>48.81</v>
      </c>
    </row>
    <row r="145" spans="1:4" x14ac:dyDescent="0.35">
      <c r="A145">
        <f>VLOOKUP(B145,'[1]Dane municipios'!$B$199:$C$321,2,0)</f>
        <v>15187</v>
      </c>
      <c r="B145" t="s">
        <v>143</v>
      </c>
      <c r="C145">
        <v>2023</v>
      </c>
      <c r="D145">
        <v>65.3</v>
      </c>
    </row>
    <row r="146" spans="1:4" x14ac:dyDescent="0.35">
      <c r="A146">
        <f>VLOOKUP(B146,'[1]Dane municipios'!$B$199:$C$321,2,0)</f>
        <v>15189</v>
      </c>
      <c r="B146" t="s">
        <v>144</v>
      </c>
      <c r="C146">
        <v>2023</v>
      </c>
      <c r="D146">
        <v>65.39</v>
      </c>
    </row>
    <row r="147" spans="1:4" x14ac:dyDescent="0.35">
      <c r="A147">
        <f>VLOOKUP(B147,'[1]Dane municipios'!$B$199:$C$321,2,0)</f>
        <v>15204</v>
      </c>
      <c r="B147" t="s">
        <v>145</v>
      </c>
      <c r="C147">
        <v>2023</v>
      </c>
      <c r="D147">
        <v>59.39</v>
      </c>
    </row>
    <row r="148" spans="1:4" x14ac:dyDescent="0.35">
      <c r="A148">
        <f>VLOOKUP(B148,'[1]Dane municipios'!$B$199:$C$321,2,0)</f>
        <v>15212</v>
      </c>
      <c r="B148" t="s">
        <v>57</v>
      </c>
      <c r="C148">
        <v>2023</v>
      </c>
      <c r="D148">
        <v>43.75</v>
      </c>
    </row>
    <row r="149" spans="1:4" x14ac:dyDescent="0.35">
      <c r="A149">
        <f>VLOOKUP(B149,'[1]Dane municipios'!$B$199:$C$321,2,0)</f>
        <v>15215</v>
      </c>
      <c r="B149" t="s">
        <v>58</v>
      </c>
      <c r="C149">
        <v>2023</v>
      </c>
      <c r="D149">
        <v>77.44</v>
      </c>
    </row>
    <row r="150" spans="1:4" x14ac:dyDescent="0.35">
      <c r="A150">
        <f>VLOOKUP(B150,'[1]Dane municipios'!$B$199:$C$321,2,0)</f>
        <v>15218</v>
      </c>
      <c r="B150" t="s">
        <v>146</v>
      </c>
      <c r="C150">
        <v>2023</v>
      </c>
      <c r="D150">
        <v>54.93</v>
      </c>
    </row>
    <row r="151" spans="1:4" x14ac:dyDescent="0.35">
      <c r="A151">
        <f>VLOOKUP(B151,'[1]Dane municipios'!$B$199:$C$321,2,0)</f>
        <v>15223</v>
      </c>
      <c r="B151" t="s">
        <v>148</v>
      </c>
      <c r="C151">
        <v>2023</v>
      </c>
      <c r="D151">
        <v>61</v>
      </c>
    </row>
    <row r="152" spans="1:4" x14ac:dyDescent="0.35">
      <c r="A152">
        <f>VLOOKUP(B152,'[1]Dane municipios'!$B$199:$C$321,2,0)</f>
        <v>15224</v>
      </c>
      <c r="B152" t="s">
        <v>59</v>
      </c>
      <c r="C152">
        <v>2023</v>
      </c>
      <c r="D152">
        <v>59.42</v>
      </c>
    </row>
    <row r="153" spans="1:4" x14ac:dyDescent="0.35">
      <c r="A153">
        <f>VLOOKUP(B153,'[1]Dane municipios'!$B$199:$C$321,2,0)</f>
        <v>15226</v>
      </c>
      <c r="B153" t="s">
        <v>147</v>
      </c>
      <c r="C153">
        <v>2023</v>
      </c>
      <c r="D153">
        <v>65.430000000000007</v>
      </c>
    </row>
    <row r="154" spans="1:4" x14ac:dyDescent="0.35">
      <c r="A154">
        <f>VLOOKUP(B154,'[1]Dane municipios'!$B$199:$C$321,2,0)</f>
        <v>15232</v>
      </c>
      <c r="B154" t="s">
        <v>149</v>
      </c>
      <c r="C154">
        <v>2023</v>
      </c>
      <c r="D154">
        <v>58.09</v>
      </c>
    </row>
    <row r="155" spans="1:4" x14ac:dyDescent="0.35">
      <c r="A155">
        <f>VLOOKUP(B155,'[1]Dane municipios'!$B$199:$C$321,2,0)</f>
        <v>15236</v>
      </c>
      <c r="B155" t="s">
        <v>60</v>
      </c>
      <c r="C155">
        <v>2023</v>
      </c>
      <c r="D155">
        <v>56.26</v>
      </c>
    </row>
    <row r="156" spans="1:4" x14ac:dyDescent="0.35">
      <c r="A156">
        <f>VLOOKUP(B156,'[1]Dane municipios'!$B$199:$C$321,2,0)</f>
        <v>15238</v>
      </c>
      <c r="B156" t="s">
        <v>61</v>
      </c>
      <c r="C156">
        <v>2023</v>
      </c>
      <c r="D156">
        <v>59.67</v>
      </c>
    </row>
    <row r="157" spans="1:4" x14ac:dyDescent="0.35">
      <c r="A157">
        <f>VLOOKUP(B157,'[1]Dane municipios'!$B$199:$C$321,2,0)</f>
        <v>15244</v>
      </c>
      <c r="B157" t="s">
        <v>62</v>
      </c>
      <c r="C157">
        <v>2023</v>
      </c>
      <c r="D157">
        <v>49.87</v>
      </c>
    </row>
    <row r="158" spans="1:4" x14ac:dyDescent="0.35">
      <c r="A158">
        <f>VLOOKUP(B158,'[1]Dane municipios'!$B$199:$C$321,2,0)</f>
        <v>15248</v>
      </c>
      <c r="B158" t="s">
        <v>63</v>
      </c>
      <c r="C158">
        <v>2023</v>
      </c>
      <c r="D158">
        <v>55.3</v>
      </c>
    </row>
    <row r="159" spans="1:4" x14ac:dyDescent="0.35">
      <c r="A159">
        <f>VLOOKUP(B159,'[1]Dane municipios'!$B$199:$C$321,2,0)</f>
        <v>15272</v>
      </c>
      <c r="B159" t="s">
        <v>64</v>
      </c>
      <c r="C159">
        <v>2023</v>
      </c>
      <c r="D159">
        <v>52.03</v>
      </c>
    </row>
    <row r="160" spans="1:4" x14ac:dyDescent="0.35">
      <c r="A160">
        <f>VLOOKUP(B160,'[1]Dane municipios'!$B$199:$C$321,2,0)</f>
        <v>15276</v>
      </c>
      <c r="B160" t="s">
        <v>65</v>
      </c>
      <c r="C160">
        <v>2023</v>
      </c>
      <c r="D160">
        <v>54.3</v>
      </c>
    </row>
    <row r="161" spans="1:4" x14ac:dyDescent="0.35">
      <c r="A161">
        <f>VLOOKUP(B161,'[1]Dane municipios'!$B$199:$C$321,2,0)</f>
        <v>15293</v>
      </c>
      <c r="B161" t="s">
        <v>150</v>
      </c>
      <c r="C161">
        <v>2023</v>
      </c>
      <c r="D161">
        <v>52.77</v>
      </c>
    </row>
    <row r="162" spans="1:4" x14ac:dyDescent="0.35">
      <c r="A162">
        <f>VLOOKUP(B162,'[1]Dane municipios'!$B$199:$C$321,2,0)</f>
        <v>15296</v>
      </c>
      <c r="B162" t="s">
        <v>151</v>
      </c>
      <c r="C162">
        <v>2023</v>
      </c>
      <c r="D162">
        <v>40.1</v>
      </c>
    </row>
    <row r="163" spans="1:4" x14ac:dyDescent="0.35">
      <c r="A163">
        <f>VLOOKUP(B163,'[1]Dane municipios'!$B$199:$C$321,2,0)</f>
        <v>15299</v>
      </c>
      <c r="B163" t="s">
        <v>66</v>
      </c>
      <c r="C163">
        <v>2023</v>
      </c>
      <c r="D163">
        <v>58.36</v>
      </c>
    </row>
    <row r="164" spans="1:4" x14ac:dyDescent="0.35">
      <c r="A164">
        <f>VLOOKUP(B164,'[1]Dane municipios'!$B$199:$C$321,2,0)</f>
        <v>15317</v>
      </c>
      <c r="B164" t="s">
        <v>67</v>
      </c>
      <c r="C164">
        <v>2023</v>
      </c>
      <c r="D164">
        <v>55.36</v>
      </c>
    </row>
    <row r="165" spans="1:4" x14ac:dyDescent="0.35">
      <c r="A165">
        <f>VLOOKUP(B165,'[1]Dane municipios'!$B$199:$C$321,2,0)</f>
        <v>15322</v>
      </c>
      <c r="B165" t="s">
        <v>68</v>
      </c>
      <c r="C165">
        <v>2023</v>
      </c>
      <c r="D165">
        <v>58.48</v>
      </c>
    </row>
    <row r="166" spans="1:4" x14ac:dyDescent="0.35">
      <c r="A166">
        <f>VLOOKUP(B166,'[1]Dane municipios'!$B$199:$C$321,2,0)</f>
        <v>15325</v>
      </c>
      <c r="B166" t="s">
        <v>152</v>
      </c>
      <c r="C166">
        <v>2023</v>
      </c>
      <c r="D166">
        <v>54.68</v>
      </c>
    </row>
    <row r="167" spans="1:4" x14ac:dyDescent="0.35">
      <c r="A167">
        <f>VLOOKUP(B167,'[1]Dane municipios'!$B$199:$C$321,2,0)</f>
        <v>15332</v>
      </c>
      <c r="B167" t="s">
        <v>153</v>
      </c>
      <c r="C167">
        <v>2023</v>
      </c>
      <c r="D167">
        <v>57.08</v>
      </c>
    </row>
    <row r="168" spans="1:4" x14ac:dyDescent="0.35">
      <c r="A168">
        <f>VLOOKUP(B168,'[1]Dane municipios'!$B$199:$C$321,2,0)</f>
        <v>15362</v>
      </c>
      <c r="B168" t="s">
        <v>69</v>
      </c>
      <c r="C168">
        <v>2023</v>
      </c>
      <c r="D168">
        <v>66.790000000000006</v>
      </c>
    </row>
    <row r="169" spans="1:4" x14ac:dyDescent="0.35">
      <c r="A169">
        <f>VLOOKUP(B169,'[1]Dane municipios'!$B$199:$C$321,2,0)</f>
        <v>15367</v>
      </c>
      <c r="B169" t="s">
        <v>70</v>
      </c>
      <c r="C169">
        <v>2023</v>
      </c>
      <c r="D169">
        <v>65.95</v>
      </c>
    </row>
    <row r="170" spans="1:4" x14ac:dyDescent="0.35">
      <c r="A170">
        <f>VLOOKUP(B170,'[1]Dane municipios'!$B$199:$C$321,2,0)</f>
        <v>15368</v>
      </c>
      <c r="B170" t="s">
        <v>154</v>
      </c>
      <c r="C170">
        <v>2023</v>
      </c>
      <c r="D170">
        <v>51.93</v>
      </c>
    </row>
    <row r="171" spans="1:4" x14ac:dyDescent="0.35">
      <c r="A171">
        <f>VLOOKUP(B171,'[1]Dane municipios'!$B$199:$C$321,2,0)</f>
        <v>15377</v>
      </c>
      <c r="B171" t="s">
        <v>71</v>
      </c>
      <c r="C171">
        <v>2023</v>
      </c>
      <c r="D171">
        <v>39.65</v>
      </c>
    </row>
    <row r="172" spans="1:4" x14ac:dyDescent="0.35">
      <c r="A172">
        <f>VLOOKUP(B172,'[1]Dane municipios'!$B$199:$C$321,2,0)</f>
        <v>15380</v>
      </c>
      <c r="B172" t="s">
        <v>72</v>
      </c>
      <c r="C172">
        <v>2023</v>
      </c>
      <c r="D172">
        <v>56.54</v>
      </c>
    </row>
    <row r="173" spans="1:4" x14ac:dyDescent="0.35">
      <c r="A173">
        <f>VLOOKUP(B173,'[1]Dane municipios'!$B$199:$C$321,2,0)</f>
        <v>15401</v>
      </c>
      <c r="B173" t="s">
        <v>73</v>
      </c>
      <c r="C173">
        <v>2023</v>
      </c>
      <c r="D173">
        <v>48.99</v>
      </c>
    </row>
    <row r="174" spans="1:4" x14ac:dyDescent="0.35">
      <c r="A174">
        <f>VLOOKUP(B174,'[1]Dane municipios'!$B$199:$C$321,2,0)</f>
        <v>15403</v>
      </c>
      <c r="B174" t="s">
        <v>74</v>
      </c>
      <c r="C174">
        <v>2023</v>
      </c>
      <c r="D174">
        <v>57.32</v>
      </c>
    </row>
    <row r="175" spans="1:4" x14ac:dyDescent="0.35">
      <c r="A175">
        <f>VLOOKUP(B175,'[1]Dane municipios'!$B$199:$C$321,2,0)</f>
        <v>15407</v>
      </c>
      <c r="B175" t="s">
        <v>75</v>
      </c>
      <c r="C175">
        <v>2023</v>
      </c>
      <c r="D175">
        <v>62.13</v>
      </c>
    </row>
    <row r="176" spans="1:4" x14ac:dyDescent="0.35">
      <c r="A176">
        <f>VLOOKUP(B176,'[1]Dane municipios'!$B$199:$C$321,2,0)</f>
        <v>15425</v>
      </c>
      <c r="B176" t="s">
        <v>76</v>
      </c>
      <c r="C176">
        <v>2023</v>
      </c>
      <c r="D176">
        <v>63.46</v>
      </c>
    </row>
    <row r="177" spans="1:4" x14ac:dyDescent="0.35">
      <c r="A177">
        <f>VLOOKUP(B177,'[1]Dane municipios'!$B$199:$C$321,2,0)</f>
        <v>15442</v>
      </c>
      <c r="B177" t="s">
        <v>155</v>
      </c>
      <c r="C177">
        <v>2023</v>
      </c>
      <c r="D177">
        <v>40.96</v>
      </c>
    </row>
    <row r="178" spans="1:4" x14ac:dyDescent="0.35">
      <c r="A178">
        <f>VLOOKUP(B178,'[1]Dane municipios'!$B$199:$C$321,2,0)</f>
        <v>15455</v>
      </c>
      <c r="B178" t="s">
        <v>77</v>
      </c>
      <c r="C178">
        <v>2023</v>
      </c>
      <c r="D178">
        <v>60.55</v>
      </c>
    </row>
    <row r="179" spans="1:4" x14ac:dyDescent="0.35">
      <c r="A179">
        <f>VLOOKUP(B179,'[1]Dane municipios'!$B$199:$C$321,2,0)</f>
        <v>15464</v>
      </c>
      <c r="B179" t="s">
        <v>78</v>
      </c>
      <c r="C179">
        <v>2023</v>
      </c>
      <c r="D179">
        <v>55.3</v>
      </c>
    </row>
    <row r="180" spans="1:4" x14ac:dyDescent="0.35">
      <c r="A180">
        <f>VLOOKUP(B180,'[1]Dane municipios'!$B$199:$C$321,2,0)</f>
        <v>15466</v>
      </c>
      <c r="B180" t="s">
        <v>156</v>
      </c>
      <c r="C180">
        <v>2023</v>
      </c>
      <c r="D180">
        <v>56.59</v>
      </c>
    </row>
    <row r="181" spans="1:4" x14ac:dyDescent="0.35">
      <c r="A181">
        <f>VLOOKUP(B181,'[1]Dane municipios'!$B$199:$C$321,2,0)</f>
        <v>15469</v>
      </c>
      <c r="B181" t="s">
        <v>157</v>
      </c>
      <c r="C181">
        <v>2023</v>
      </c>
      <c r="D181">
        <v>55.83</v>
      </c>
    </row>
    <row r="182" spans="1:4" x14ac:dyDescent="0.35">
      <c r="A182">
        <f>VLOOKUP(B182,'[1]Dane municipios'!$B$199:$C$321,2,0)</f>
        <v>15476</v>
      </c>
      <c r="B182" t="s">
        <v>79</v>
      </c>
      <c r="C182">
        <v>2023</v>
      </c>
      <c r="D182">
        <v>60.74</v>
      </c>
    </row>
    <row r="183" spans="1:4" x14ac:dyDescent="0.35">
      <c r="A183">
        <f>VLOOKUP(B183,'[1]Dane municipios'!$B$199:$C$321,2,0)</f>
        <v>15480</v>
      </c>
      <c r="B183" t="s">
        <v>80</v>
      </c>
      <c r="C183">
        <v>2023</v>
      </c>
      <c r="D183">
        <v>53.81</v>
      </c>
    </row>
    <row r="184" spans="1:4" x14ac:dyDescent="0.35">
      <c r="A184">
        <f>VLOOKUP(B184,'[1]Dane municipios'!$B$199:$C$321,2,0)</f>
        <v>15491</v>
      </c>
      <c r="B184" t="s">
        <v>81</v>
      </c>
      <c r="C184">
        <v>2023</v>
      </c>
      <c r="D184">
        <v>53.38</v>
      </c>
    </row>
    <row r="185" spans="1:4" x14ac:dyDescent="0.35">
      <c r="A185">
        <f>VLOOKUP(B185,'[1]Dane municipios'!$B$199:$C$321,2,0)</f>
        <v>15494</v>
      </c>
      <c r="B185" t="s">
        <v>158</v>
      </c>
      <c r="C185">
        <v>2023</v>
      </c>
      <c r="D185">
        <v>58.11</v>
      </c>
    </row>
    <row r="186" spans="1:4" x14ac:dyDescent="0.35">
      <c r="A186">
        <f>VLOOKUP(B186,'[1]Dane municipios'!$B$199:$C$321,2,0)</f>
        <v>15500</v>
      </c>
      <c r="B186" t="s">
        <v>159</v>
      </c>
      <c r="C186">
        <v>2023</v>
      </c>
      <c r="D186">
        <v>64.63</v>
      </c>
    </row>
    <row r="187" spans="1:4" x14ac:dyDescent="0.35">
      <c r="A187">
        <f>VLOOKUP(B187,'[1]Dane municipios'!$B$199:$C$321,2,0)</f>
        <v>15507</v>
      </c>
      <c r="B187" t="s">
        <v>82</v>
      </c>
      <c r="C187">
        <v>2023</v>
      </c>
      <c r="D187">
        <v>61.32</v>
      </c>
    </row>
    <row r="188" spans="1:4" x14ac:dyDescent="0.35">
      <c r="A188">
        <f>VLOOKUP(B188,'[1]Dane municipios'!$B$199:$C$321,2,0)</f>
        <v>15511</v>
      </c>
      <c r="B188" t="s">
        <v>83</v>
      </c>
      <c r="C188">
        <v>2023</v>
      </c>
      <c r="D188">
        <v>56.47</v>
      </c>
    </row>
    <row r="189" spans="1:4" x14ac:dyDescent="0.35">
      <c r="A189">
        <f>VLOOKUP(B189,'[1]Dane municipios'!$B$199:$C$321,2,0)</f>
        <v>15514</v>
      </c>
      <c r="B189" t="s">
        <v>160</v>
      </c>
      <c r="C189">
        <v>2023</v>
      </c>
      <c r="D189">
        <v>60.41</v>
      </c>
    </row>
    <row r="190" spans="1:4" x14ac:dyDescent="0.35">
      <c r="A190">
        <f>VLOOKUP(B190,'[1]Dane municipios'!$B$199:$C$321,2,0)</f>
        <v>15516</v>
      </c>
      <c r="B190" t="s">
        <v>84</v>
      </c>
      <c r="C190">
        <v>2023</v>
      </c>
      <c r="D190">
        <v>69.48</v>
      </c>
    </row>
    <row r="191" spans="1:4" x14ac:dyDescent="0.35">
      <c r="A191">
        <f>VLOOKUP(B191,'[1]Dane municipios'!$B$199:$C$321,2,0)</f>
        <v>15518</v>
      </c>
      <c r="B191" t="s">
        <v>85</v>
      </c>
      <c r="C191">
        <v>2023</v>
      </c>
      <c r="D191">
        <v>46.12</v>
      </c>
    </row>
    <row r="192" spans="1:4" x14ac:dyDescent="0.35">
      <c r="A192">
        <f>VLOOKUP(B192,'[1]Dane municipios'!$B$199:$C$321,2,0)</f>
        <v>15522</v>
      </c>
      <c r="B192" t="s">
        <v>86</v>
      </c>
      <c r="C192">
        <v>2023</v>
      </c>
      <c r="D192">
        <v>64.88</v>
      </c>
    </row>
    <row r="193" spans="1:4" x14ac:dyDescent="0.35">
      <c r="A193">
        <f>VLOOKUP(B193,'[1]Dane municipios'!$B$199:$C$321,2,0)</f>
        <v>15531</v>
      </c>
      <c r="B193" t="s">
        <v>87</v>
      </c>
      <c r="C193">
        <v>2023</v>
      </c>
      <c r="D193">
        <v>58.1</v>
      </c>
    </row>
    <row r="194" spans="1:4" x14ac:dyDescent="0.35">
      <c r="A194">
        <f>VLOOKUP(B194,'[1]Dane municipios'!$B$199:$C$321,2,0)</f>
        <v>15533</v>
      </c>
      <c r="B194" t="s">
        <v>88</v>
      </c>
      <c r="C194">
        <v>2023</v>
      </c>
      <c r="D194">
        <v>59.16</v>
      </c>
    </row>
    <row r="195" spans="1:4" x14ac:dyDescent="0.35">
      <c r="A195">
        <f>VLOOKUP(B195,'[1]Dane municipios'!$B$199:$C$321,2,0)</f>
        <v>15537</v>
      </c>
      <c r="B195" t="s">
        <v>161</v>
      </c>
      <c r="C195">
        <v>2023</v>
      </c>
      <c r="D195">
        <v>67.709999999999994</v>
      </c>
    </row>
    <row r="196" spans="1:4" x14ac:dyDescent="0.35">
      <c r="A196">
        <f>VLOOKUP(B196,'[1]Dane municipios'!$B$199:$C$321,2,0)</f>
        <v>15542</v>
      </c>
      <c r="B196" t="s">
        <v>89</v>
      </c>
      <c r="C196">
        <v>2023</v>
      </c>
      <c r="D196">
        <v>60.33</v>
      </c>
    </row>
    <row r="197" spans="1:4" x14ac:dyDescent="0.35">
      <c r="A197">
        <f>VLOOKUP(B197,'[1]Dane municipios'!$B$199:$C$321,2,0)</f>
        <v>15550</v>
      </c>
      <c r="B197" t="s">
        <v>90</v>
      </c>
      <c r="C197">
        <v>2023</v>
      </c>
      <c r="D197">
        <v>49.65</v>
      </c>
    </row>
    <row r="198" spans="1:4" x14ac:dyDescent="0.35">
      <c r="A198">
        <f>VLOOKUP(B198,'[1]Dane municipios'!$B$199:$C$321,2,0)</f>
        <v>15572</v>
      </c>
      <c r="B198" t="s">
        <v>138</v>
      </c>
      <c r="C198">
        <v>2023</v>
      </c>
      <c r="D198">
        <v>61.29</v>
      </c>
    </row>
    <row r="199" spans="1:4" x14ac:dyDescent="0.35">
      <c r="A199">
        <f>VLOOKUP(B199,'[1]Dane municipios'!$B$199:$C$321,2,0)</f>
        <v>15580</v>
      </c>
      <c r="B199" t="s">
        <v>162</v>
      </c>
      <c r="C199">
        <v>2023</v>
      </c>
      <c r="D199">
        <v>44.93</v>
      </c>
    </row>
    <row r="200" spans="1:4" x14ac:dyDescent="0.35">
      <c r="A200">
        <f>VLOOKUP(B200,'[1]Dane municipios'!$B$199:$C$321,2,0)</f>
        <v>15599</v>
      </c>
      <c r="B200" t="s">
        <v>163</v>
      </c>
      <c r="C200">
        <v>2023</v>
      </c>
      <c r="D200">
        <v>65.569999999999993</v>
      </c>
    </row>
    <row r="201" spans="1:4" x14ac:dyDescent="0.35">
      <c r="A201">
        <f>VLOOKUP(B201,'[1]Dane municipios'!$B$199:$C$321,2,0)</f>
        <v>15600</v>
      </c>
      <c r="B201" t="s">
        <v>164</v>
      </c>
      <c r="C201">
        <v>2023</v>
      </c>
      <c r="D201">
        <v>50</v>
      </c>
    </row>
    <row r="202" spans="1:4" x14ac:dyDescent="0.35">
      <c r="A202">
        <f>VLOOKUP(B202,'[1]Dane municipios'!$B$199:$C$321,2,0)</f>
        <v>15621</v>
      </c>
      <c r="B202" t="s">
        <v>165</v>
      </c>
      <c r="C202">
        <v>2023</v>
      </c>
      <c r="D202">
        <v>60.56</v>
      </c>
    </row>
    <row r="203" spans="1:4" x14ac:dyDescent="0.35">
      <c r="A203">
        <f>VLOOKUP(B203,'[1]Dane municipios'!$B$199:$C$321,2,0)</f>
        <v>15632</v>
      </c>
      <c r="B203" t="s">
        <v>166</v>
      </c>
      <c r="C203">
        <v>2023</v>
      </c>
      <c r="D203">
        <v>57.24</v>
      </c>
    </row>
    <row r="204" spans="1:4" x14ac:dyDescent="0.35">
      <c r="A204">
        <f>VLOOKUP(B204,'[1]Dane municipios'!$B$199:$C$321,2,0)</f>
        <v>15638</v>
      </c>
      <c r="B204" t="s">
        <v>167</v>
      </c>
      <c r="C204">
        <v>2023</v>
      </c>
      <c r="D204">
        <v>67.430000000000007</v>
      </c>
    </row>
    <row r="205" spans="1:4" x14ac:dyDescent="0.35">
      <c r="A205">
        <f>VLOOKUP(B205,'[1]Dane municipios'!$B$199:$C$321,2,0)</f>
        <v>15646</v>
      </c>
      <c r="B205" t="s">
        <v>168</v>
      </c>
      <c r="C205">
        <v>2023</v>
      </c>
      <c r="D205">
        <v>64.55</v>
      </c>
    </row>
    <row r="206" spans="1:4" x14ac:dyDescent="0.35">
      <c r="A206">
        <f>VLOOKUP(B206,'[1]Dane municipios'!$B$199:$C$321,2,0)</f>
        <v>15660</v>
      </c>
      <c r="B206" t="s">
        <v>91</v>
      </c>
      <c r="C206">
        <v>2023</v>
      </c>
      <c r="D206">
        <v>61.61</v>
      </c>
    </row>
    <row r="207" spans="1:4" x14ac:dyDescent="0.35">
      <c r="A207">
        <f>VLOOKUP(B207,'[1]Dane municipios'!$B$199:$C$321,2,0)</f>
        <v>15664</v>
      </c>
      <c r="B207" t="s">
        <v>169</v>
      </c>
      <c r="C207">
        <v>2023</v>
      </c>
      <c r="D207">
        <v>54.14</v>
      </c>
    </row>
    <row r="208" spans="1:4" x14ac:dyDescent="0.35">
      <c r="A208">
        <f>VLOOKUP(B208,'[1]Dane municipios'!$B$199:$C$321,2,0)</f>
        <v>15667</v>
      </c>
      <c r="B208" t="s">
        <v>92</v>
      </c>
      <c r="C208">
        <v>2023</v>
      </c>
      <c r="D208">
        <v>51.69</v>
      </c>
    </row>
    <row r="209" spans="1:4" x14ac:dyDescent="0.35">
      <c r="A209">
        <f>VLOOKUP(B209,'[1]Dane municipios'!$B$199:$C$321,2,0)</f>
        <v>15673</v>
      </c>
      <c r="B209" t="s">
        <v>93</v>
      </c>
      <c r="C209">
        <v>2023</v>
      </c>
      <c r="D209">
        <v>49.06</v>
      </c>
    </row>
    <row r="210" spans="1:4" x14ac:dyDescent="0.35">
      <c r="A210">
        <f>VLOOKUP(B210,'[1]Dane municipios'!$B$199:$C$321,2,0)</f>
        <v>15676</v>
      </c>
      <c r="B210" t="s">
        <v>94</v>
      </c>
      <c r="C210">
        <v>2023</v>
      </c>
      <c r="D210">
        <v>76.209999999999994</v>
      </c>
    </row>
    <row r="211" spans="1:4" x14ac:dyDescent="0.35">
      <c r="A211">
        <f>VLOOKUP(B211,'[1]Dane municipios'!$B$199:$C$321,2,0)</f>
        <v>15681</v>
      </c>
      <c r="B211" t="s">
        <v>95</v>
      </c>
      <c r="C211">
        <v>2023</v>
      </c>
      <c r="D211">
        <v>47.18</v>
      </c>
    </row>
    <row r="212" spans="1:4" x14ac:dyDescent="0.35">
      <c r="A212">
        <f>VLOOKUP(B212,'[1]Dane municipios'!$B$199:$C$321,2,0)</f>
        <v>15686</v>
      </c>
      <c r="B212" t="s">
        <v>96</v>
      </c>
      <c r="C212">
        <v>2023</v>
      </c>
      <c r="D212">
        <v>57.58</v>
      </c>
    </row>
    <row r="213" spans="1:4" x14ac:dyDescent="0.35">
      <c r="A213">
        <f>VLOOKUP(B213,'[1]Dane municipios'!$B$199:$C$321,2,0)</f>
        <v>15690</v>
      </c>
      <c r="B213" t="s">
        <v>170</v>
      </c>
      <c r="C213">
        <v>2023</v>
      </c>
      <c r="D213">
        <v>51.41</v>
      </c>
    </row>
    <row r="214" spans="1:4" x14ac:dyDescent="0.35">
      <c r="A214">
        <f>VLOOKUP(B214,'[1]Dane municipios'!$B$199:$C$321,2,0)</f>
        <v>15693</v>
      </c>
      <c r="B214" t="s">
        <v>97</v>
      </c>
      <c r="C214">
        <v>2023</v>
      </c>
      <c r="D214">
        <v>53.2</v>
      </c>
    </row>
    <row r="215" spans="1:4" x14ac:dyDescent="0.35">
      <c r="A215">
        <f>VLOOKUP(B215,'[1]Dane municipios'!$B$199:$C$321,2,0)</f>
        <v>15696</v>
      </c>
      <c r="B215" t="s">
        <v>171</v>
      </c>
      <c r="C215">
        <v>2023</v>
      </c>
      <c r="D215">
        <v>59.11</v>
      </c>
    </row>
    <row r="216" spans="1:4" x14ac:dyDescent="0.35">
      <c r="A216">
        <f>VLOOKUP(B216,'[1]Dane municipios'!$B$199:$C$321,2,0)</f>
        <v>15720</v>
      </c>
      <c r="B216" t="s">
        <v>98</v>
      </c>
      <c r="C216">
        <v>2023</v>
      </c>
      <c r="D216">
        <v>55.72</v>
      </c>
    </row>
    <row r="217" spans="1:4" x14ac:dyDescent="0.35">
      <c r="A217">
        <f>VLOOKUP(B217,'[1]Dane municipios'!$B$199:$C$321,2,0)</f>
        <v>15723</v>
      </c>
      <c r="B217" t="s">
        <v>99</v>
      </c>
      <c r="C217">
        <v>2023</v>
      </c>
      <c r="D217">
        <v>67.349999999999994</v>
      </c>
    </row>
    <row r="218" spans="1:4" x14ac:dyDescent="0.35">
      <c r="A218">
        <f>VLOOKUP(B218,'[1]Dane municipios'!$B$199:$C$321,2,0)</f>
        <v>15740</v>
      </c>
      <c r="B218" t="s">
        <v>100</v>
      </c>
      <c r="C218">
        <v>2023</v>
      </c>
      <c r="D218">
        <v>63.22</v>
      </c>
    </row>
    <row r="219" spans="1:4" x14ac:dyDescent="0.35">
      <c r="A219">
        <f>VLOOKUP(B219,'[1]Dane municipios'!$B$199:$C$321,2,0)</f>
        <v>15753</v>
      </c>
      <c r="B219" t="s">
        <v>172</v>
      </c>
      <c r="C219">
        <v>2023</v>
      </c>
      <c r="D219">
        <v>59.02</v>
      </c>
    </row>
    <row r="220" spans="1:4" x14ac:dyDescent="0.35">
      <c r="A220">
        <f>VLOOKUP(B220,'[1]Dane municipios'!$B$199:$C$321,2,0)</f>
        <v>15755</v>
      </c>
      <c r="B220" t="s">
        <v>173</v>
      </c>
      <c r="C220">
        <v>2023</v>
      </c>
      <c r="D220">
        <v>65.73</v>
      </c>
    </row>
    <row r="221" spans="1:4" x14ac:dyDescent="0.35">
      <c r="A221">
        <f>VLOOKUP(B221,'[1]Dane municipios'!$B$199:$C$321,2,0)</f>
        <v>15757</v>
      </c>
      <c r="B221" t="s">
        <v>101</v>
      </c>
      <c r="C221">
        <v>2023</v>
      </c>
      <c r="D221">
        <v>53.6</v>
      </c>
    </row>
    <row r="222" spans="1:4" x14ac:dyDescent="0.35">
      <c r="A222">
        <f>VLOOKUP(B222,'[1]Dane municipios'!$B$199:$C$321,2,0)</f>
        <v>15759</v>
      </c>
      <c r="B222" t="s">
        <v>102</v>
      </c>
      <c r="C222">
        <v>2023</v>
      </c>
      <c r="D222">
        <v>58.49</v>
      </c>
    </row>
    <row r="223" spans="1:4" x14ac:dyDescent="0.35">
      <c r="A223">
        <f>VLOOKUP(B223,'[1]Dane municipios'!$B$199:$C$321,2,0)</f>
        <v>15761</v>
      </c>
      <c r="B223" t="s">
        <v>103</v>
      </c>
      <c r="C223">
        <v>2023</v>
      </c>
      <c r="D223">
        <v>52.95</v>
      </c>
    </row>
    <row r="224" spans="1:4" x14ac:dyDescent="0.35">
      <c r="A224">
        <f>VLOOKUP(B224,'[1]Dane municipios'!$B$199:$C$321,2,0)</f>
        <v>15762</v>
      </c>
      <c r="B224" t="s">
        <v>104</v>
      </c>
      <c r="C224">
        <v>2023</v>
      </c>
      <c r="D224">
        <v>61.42</v>
      </c>
    </row>
    <row r="225" spans="1:4" x14ac:dyDescent="0.35">
      <c r="A225">
        <f>VLOOKUP(B225,'[1]Dane municipios'!$B$199:$C$321,2,0)</f>
        <v>15763</v>
      </c>
      <c r="B225" t="s">
        <v>174</v>
      </c>
      <c r="C225">
        <v>2023</v>
      </c>
      <c r="D225">
        <v>62.86</v>
      </c>
    </row>
    <row r="226" spans="1:4" x14ac:dyDescent="0.35">
      <c r="A226">
        <f>VLOOKUP(B226,'[1]Dane municipios'!$B$199:$C$321,2,0)</f>
        <v>15764</v>
      </c>
      <c r="B226" t="s">
        <v>175</v>
      </c>
      <c r="C226">
        <v>2023</v>
      </c>
      <c r="D226">
        <v>53.33</v>
      </c>
    </row>
    <row r="227" spans="1:4" x14ac:dyDescent="0.35">
      <c r="A227">
        <f>VLOOKUP(B227,'[1]Dane municipios'!$B$199:$C$321,2,0)</f>
        <v>15774</v>
      </c>
      <c r="B227" t="s">
        <v>176</v>
      </c>
      <c r="C227">
        <v>2023</v>
      </c>
      <c r="D227">
        <v>57.95</v>
      </c>
    </row>
    <row r="228" spans="1:4" x14ac:dyDescent="0.35">
      <c r="A228">
        <f>VLOOKUP(B228,'[1]Dane municipios'!$B$199:$C$321,2,0)</f>
        <v>15776</v>
      </c>
      <c r="B228" t="s">
        <v>177</v>
      </c>
      <c r="C228">
        <v>2023</v>
      </c>
      <c r="D228">
        <v>61.78</v>
      </c>
    </row>
    <row r="229" spans="1:4" x14ac:dyDescent="0.35">
      <c r="A229">
        <f>VLOOKUP(B229,'[1]Dane municipios'!$B$199:$C$321,2,0)</f>
        <v>15778</v>
      </c>
      <c r="B229" t="s">
        <v>105</v>
      </c>
      <c r="C229">
        <v>2023</v>
      </c>
      <c r="D229">
        <v>45</v>
      </c>
    </row>
    <row r="230" spans="1:4" x14ac:dyDescent="0.35">
      <c r="A230">
        <f>VLOOKUP(B230,'[1]Dane municipios'!$B$199:$C$321,2,0)</f>
        <v>15790</v>
      </c>
      <c r="B230" t="s">
        <v>106</v>
      </c>
      <c r="C230">
        <v>2023</v>
      </c>
      <c r="D230">
        <v>62.08</v>
      </c>
    </row>
    <row r="231" spans="1:4" x14ac:dyDescent="0.35">
      <c r="A231">
        <f>VLOOKUP(B231,'[1]Dane municipios'!$B$199:$C$321,2,0)</f>
        <v>15798</v>
      </c>
      <c r="B231" t="s">
        <v>107</v>
      </c>
      <c r="C231">
        <v>2023</v>
      </c>
      <c r="D231">
        <v>50.62</v>
      </c>
    </row>
    <row r="232" spans="1:4" x14ac:dyDescent="0.35">
      <c r="A232">
        <f>VLOOKUP(B232,'[1]Dane municipios'!$B$199:$C$321,2,0)</f>
        <v>15804</v>
      </c>
      <c r="B232" t="s">
        <v>178</v>
      </c>
      <c r="C232">
        <v>2023</v>
      </c>
      <c r="D232">
        <v>63.23</v>
      </c>
    </row>
    <row r="233" spans="1:4" x14ac:dyDescent="0.35">
      <c r="A233">
        <f>VLOOKUP(B233,'[1]Dane municipios'!$B$199:$C$321,2,0)</f>
        <v>15806</v>
      </c>
      <c r="B233" t="s">
        <v>108</v>
      </c>
      <c r="C233">
        <v>2023</v>
      </c>
      <c r="D233">
        <v>67.459999999999994</v>
      </c>
    </row>
    <row r="234" spans="1:4" x14ac:dyDescent="0.35">
      <c r="A234">
        <f>VLOOKUP(B234,'[1]Dane municipios'!$B$199:$C$321,2,0)</f>
        <v>15808</v>
      </c>
      <c r="B234" t="s">
        <v>179</v>
      </c>
      <c r="C234">
        <v>2023</v>
      </c>
      <c r="D234">
        <v>62.8</v>
      </c>
    </row>
    <row r="235" spans="1:4" x14ac:dyDescent="0.35">
      <c r="A235">
        <f>VLOOKUP(B235,'[1]Dane municipios'!$B$199:$C$321,2,0)</f>
        <v>15810</v>
      </c>
      <c r="B235" t="s">
        <v>109</v>
      </c>
      <c r="C235">
        <v>2023</v>
      </c>
      <c r="D235">
        <v>58.15</v>
      </c>
    </row>
    <row r="236" spans="1:4" x14ac:dyDescent="0.35">
      <c r="A236">
        <f>VLOOKUP(B236,'[1]Dane municipios'!$B$199:$C$321,2,0)</f>
        <v>15814</v>
      </c>
      <c r="B236" t="s">
        <v>110</v>
      </c>
      <c r="C236">
        <v>2023</v>
      </c>
      <c r="D236">
        <v>61.12</v>
      </c>
    </row>
    <row r="237" spans="1:4" x14ac:dyDescent="0.35">
      <c r="A237">
        <f>VLOOKUP(B237,'[1]Dane municipios'!$B$199:$C$321,2,0)</f>
        <v>15816</v>
      </c>
      <c r="B237" t="s">
        <v>180</v>
      </c>
      <c r="C237">
        <v>2023</v>
      </c>
      <c r="D237">
        <v>58.66</v>
      </c>
    </row>
    <row r="238" spans="1:4" x14ac:dyDescent="0.35">
      <c r="A238">
        <f>VLOOKUP(B238,'[1]Dane municipios'!$B$199:$C$321,2,0)</f>
        <v>15820</v>
      </c>
      <c r="B238" t="s">
        <v>181</v>
      </c>
      <c r="C238">
        <v>2023</v>
      </c>
      <c r="D238">
        <v>60.89</v>
      </c>
    </row>
    <row r="239" spans="1:4" x14ac:dyDescent="0.35">
      <c r="A239">
        <f>VLOOKUP(B239,'[1]Dane municipios'!$B$199:$C$321,2,0)</f>
        <v>15822</v>
      </c>
      <c r="B239" t="s">
        <v>111</v>
      </c>
      <c r="C239">
        <v>2023</v>
      </c>
      <c r="D239">
        <v>60.64</v>
      </c>
    </row>
    <row r="240" spans="1:4" x14ac:dyDescent="0.35">
      <c r="A240">
        <f>VLOOKUP(B240,'[1]Dane municipios'!$B$199:$C$321,2,0)</f>
        <v>15832</v>
      </c>
      <c r="B240" t="s">
        <v>182</v>
      </c>
      <c r="C240">
        <v>2023</v>
      </c>
      <c r="D240">
        <v>43.97</v>
      </c>
    </row>
    <row r="241" spans="1:4" x14ac:dyDescent="0.35">
      <c r="A241">
        <f>VLOOKUP(B241,'[1]Dane municipios'!$B$199:$C$321,2,0)</f>
        <v>15835</v>
      </c>
      <c r="B241" t="s">
        <v>183</v>
      </c>
      <c r="C241">
        <v>2023</v>
      </c>
      <c r="D241">
        <v>54.22</v>
      </c>
    </row>
    <row r="242" spans="1:4" x14ac:dyDescent="0.35">
      <c r="A242">
        <f>VLOOKUP(B242,'[1]Dane municipios'!$B$199:$C$321,2,0)</f>
        <v>15837</v>
      </c>
      <c r="B242" t="s">
        <v>112</v>
      </c>
      <c r="C242">
        <v>2023</v>
      </c>
      <c r="D242">
        <v>63.37</v>
      </c>
    </row>
    <row r="243" spans="1:4" x14ac:dyDescent="0.35">
      <c r="A243">
        <f>VLOOKUP(B243,'[1]Dane municipios'!$B$199:$C$321,2,0)</f>
        <v>15839</v>
      </c>
      <c r="B243" t="s">
        <v>184</v>
      </c>
      <c r="C243">
        <v>2023</v>
      </c>
      <c r="D243">
        <v>29.1</v>
      </c>
    </row>
    <row r="244" spans="1:4" x14ac:dyDescent="0.35">
      <c r="A244">
        <f>VLOOKUP(B244,'[1]Dane municipios'!$B$199:$C$321,2,0)</f>
        <v>15842</v>
      </c>
      <c r="B244" t="s">
        <v>185</v>
      </c>
      <c r="C244">
        <v>2023</v>
      </c>
      <c r="D244">
        <v>44.95</v>
      </c>
    </row>
    <row r="245" spans="1:4" x14ac:dyDescent="0.35">
      <c r="A245">
        <f>VLOOKUP(B245,'[1]Dane municipios'!$B$199:$C$321,2,0)</f>
        <v>15861</v>
      </c>
      <c r="B245" t="s">
        <v>113</v>
      </c>
      <c r="C245">
        <v>2023</v>
      </c>
      <c r="D245">
        <v>51.07</v>
      </c>
    </row>
    <row r="246" spans="1:4" x14ac:dyDescent="0.35">
      <c r="A246">
        <f>VLOOKUP(B246,'[1]Dane municipios'!$B$199:$C$321,2,0)</f>
        <v>15879</v>
      </c>
      <c r="B246" t="s">
        <v>186</v>
      </c>
      <c r="C246">
        <v>2023</v>
      </c>
      <c r="D246">
        <v>57.96</v>
      </c>
    </row>
    <row r="247" spans="1:4" x14ac:dyDescent="0.35">
      <c r="A247">
        <f>VLOOKUP(B247,'[1]Dane municipios'!$B$199:$C$321,2,0)</f>
        <v>15897</v>
      </c>
      <c r="B247" t="s">
        <v>114</v>
      </c>
      <c r="C247">
        <v>2023</v>
      </c>
      <c r="D247">
        <v>63.3</v>
      </c>
    </row>
    <row r="249" spans="1:4" x14ac:dyDescent="0.35">
      <c r="A249" t="s">
        <v>17</v>
      </c>
      <c r="B249" t="s">
        <v>35</v>
      </c>
    </row>
    <row r="250" spans="1:4" x14ac:dyDescent="0.35">
      <c r="A250" s="1" t="s">
        <v>2</v>
      </c>
      <c r="B250" t="s">
        <v>139</v>
      </c>
    </row>
    <row r="251" spans="1:4" x14ac:dyDescent="0.35">
      <c r="A251" s="1" t="s">
        <v>11</v>
      </c>
      <c r="B251" t="s">
        <v>140</v>
      </c>
    </row>
    <row r="252" spans="1:4" x14ac:dyDescent="0.35">
      <c r="A252" s="1" t="s">
        <v>13</v>
      </c>
      <c r="B252" t="s">
        <v>36</v>
      </c>
    </row>
    <row r="253" spans="1:4" x14ac:dyDescent="0.35">
      <c r="A253" s="1" t="s">
        <v>15</v>
      </c>
      <c r="B253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2883-FF41-4432-8780-5C4AD16A655A}">
  <dimension ref="A1:C23"/>
  <sheetViews>
    <sheetView workbookViewId="0">
      <selection activeCell="G22" sqref="G22"/>
    </sheetView>
  </sheetViews>
  <sheetFormatPr baseColWidth="10" defaultRowHeight="14.5" x14ac:dyDescent="0.35"/>
  <cols>
    <col min="1" max="1" width="16" bestFit="1" customWidth="1"/>
  </cols>
  <sheetData>
    <row r="1" spans="1:3" x14ac:dyDescent="0.35">
      <c r="A1" s="2" t="s">
        <v>19</v>
      </c>
      <c r="B1" s="2">
        <v>2022</v>
      </c>
      <c r="C1" s="2">
        <v>2023</v>
      </c>
    </row>
    <row r="2" spans="1:3" x14ac:dyDescent="0.35">
      <c r="A2" s="3" t="s">
        <v>20</v>
      </c>
      <c r="B2">
        <v>68.97399999999999</v>
      </c>
      <c r="C2">
        <v>70.879333333333335</v>
      </c>
    </row>
    <row r="3" spans="1:3" x14ac:dyDescent="0.35">
      <c r="A3" s="3" t="s">
        <v>21</v>
      </c>
      <c r="B3">
        <v>60.39</v>
      </c>
      <c r="C3">
        <v>65.959999999999994</v>
      </c>
    </row>
    <row r="4" spans="1:3" x14ac:dyDescent="0.35">
      <c r="A4" s="3" t="s">
        <v>22</v>
      </c>
      <c r="B4">
        <v>58.861666666666657</v>
      </c>
      <c r="C4">
        <v>67.805000000000007</v>
      </c>
    </row>
    <row r="5" spans="1:3" x14ac:dyDescent="0.35">
      <c r="A5" s="3" t="s">
        <v>23</v>
      </c>
      <c r="B5">
        <v>60.327500000000001</v>
      </c>
      <c r="C5">
        <v>64.37</v>
      </c>
    </row>
    <row r="6" spans="1:3" x14ac:dyDescent="0.35">
      <c r="A6" s="3" t="s">
        <v>24</v>
      </c>
      <c r="B6">
        <v>69.484999999999999</v>
      </c>
      <c r="C6">
        <v>70.036666666666676</v>
      </c>
    </row>
    <row r="7" spans="1:3" x14ac:dyDescent="0.35">
      <c r="A7" s="3" t="s">
        <v>25</v>
      </c>
      <c r="B7">
        <v>73.52</v>
      </c>
      <c r="C7">
        <v>74.709999999999994</v>
      </c>
    </row>
    <row r="8" spans="1:3" x14ac:dyDescent="0.35">
      <c r="A8" s="3" t="s">
        <v>26</v>
      </c>
      <c r="B8">
        <v>67.945999999999998</v>
      </c>
      <c r="C8">
        <v>68.597999999999999</v>
      </c>
    </row>
    <row r="9" spans="1:3" x14ac:dyDescent="0.35">
      <c r="A9" s="3" t="s">
        <v>27</v>
      </c>
      <c r="B9">
        <v>66.74666666666667</v>
      </c>
      <c r="C9">
        <v>66.62833333333333</v>
      </c>
    </row>
    <row r="10" spans="1:3" x14ac:dyDescent="0.35">
      <c r="A10" s="3" t="s">
        <v>28</v>
      </c>
      <c r="B10">
        <v>65.794444444444423</v>
      </c>
      <c r="C10">
        <v>71.373333333333335</v>
      </c>
    </row>
    <row r="11" spans="1:3" x14ac:dyDescent="0.35">
      <c r="A11" s="3" t="s">
        <v>29</v>
      </c>
      <c r="B11">
        <v>67.571999999999989</v>
      </c>
      <c r="C11">
        <v>68.268000000000001</v>
      </c>
    </row>
    <row r="12" spans="1:3" x14ac:dyDescent="0.35">
      <c r="A12" s="3" t="s">
        <v>30</v>
      </c>
      <c r="B12">
        <v>67.991249999999994</v>
      </c>
      <c r="C12">
        <v>67.083750000000009</v>
      </c>
    </row>
    <row r="13" spans="1:3" x14ac:dyDescent="0.35">
      <c r="A13" s="3" t="s">
        <v>31</v>
      </c>
      <c r="B13">
        <v>70.40384615384616</v>
      </c>
      <c r="C13">
        <v>69.15923076923076</v>
      </c>
    </row>
    <row r="14" spans="1:3" x14ac:dyDescent="0.35">
      <c r="A14" s="3" t="s">
        <v>32</v>
      </c>
      <c r="B14">
        <v>66.66153846153847</v>
      </c>
      <c r="C14">
        <v>67.811538461538476</v>
      </c>
    </row>
    <row r="15" spans="1:3" x14ac:dyDescent="0.35">
      <c r="A15" s="3" t="s">
        <v>33</v>
      </c>
      <c r="B15">
        <v>69.656666666666666</v>
      </c>
      <c r="C15">
        <v>73.088888888888903</v>
      </c>
    </row>
    <row r="16" spans="1:3" x14ac:dyDescent="0.35">
      <c r="A16" s="3" t="s">
        <v>34</v>
      </c>
      <c r="B16">
        <v>66.915714285714287</v>
      </c>
      <c r="C16">
        <v>70.444285714285712</v>
      </c>
    </row>
    <row r="18" spans="1:2" x14ac:dyDescent="0.35">
      <c r="A18" s="1" t="s">
        <v>2</v>
      </c>
      <c r="B18" t="s">
        <v>130</v>
      </c>
    </row>
    <row r="19" spans="1:2" x14ac:dyDescent="0.35">
      <c r="A19" s="1" t="s">
        <v>11</v>
      </c>
      <c r="B19" t="s">
        <v>131</v>
      </c>
    </row>
    <row r="20" spans="1:2" x14ac:dyDescent="0.35">
      <c r="A20" s="1" t="s">
        <v>13</v>
      </c>
      <c r="B20" t="s">
        <v>132</v>
      </c>
    </row>
    <row r="21" spans="1:2" x14ac:dyDescent="0.35">
      <c r="A21" s="1" t="s">
        <v>15</v>
      </c>
      <c r="B21" t="s">
        <v>16</v>
      </c>
    </row>
    <row r="23" spans="1:2" x14ac:dyDescent="0.35">
      <c r="A23" s="1" t="s">
        <v>17</v>
      </c>
      <c r="B23" t="s">
        <v>18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9023-4098-4B2A-A2A2-8C804BB4E16A}">
  <dimension ref="A1:D253"/>
  <sheetViews>
    <sheetView topLeftCell="A229" workbookViewId="0">
      <selection activeCell="G13" sqref="G13"/>
    </sheetView>
  </sheetViews>
  <sheetFormatPr baseColWidth="10" defaultRowHeight="14.5" x14ac:dyDescent="0.35"/>
  <cols>
    <col min="1" max="1" width="11.81640625" bestFit="1" customWidth="1"/>
    <col min="4" max="4" width="24.453125" bestFit="1" customWidth="1"/>
  </cols>
  <sheetData>
    <row r="1" spans="1:4" x14ac:dyDescent="0.35">
      <c r="A1" s="4" t="s">
        <v>38</v>
      </c>
      <c r="B1" s="4" t="s">
        <v>39</v>
      </c>
      <c r="C1" s="5" t="s">
        <v>40</v>
      </c>
      <c r="D1" s="5" t="s">
        <v>133</v>
      </c>
    </row>
    <row r="2" spans="1:4" x14ac:dyDescent="0.35">
      <c r="A2">
        <f>VLOOKUP(B2,'[1]Dane municipios'!$B$199:$C$321,2,0)</f>
        <v>15001</v>
      </c>
      <c r="B2" t="s">
        <v>42</v>
      </c>
      <c r="C2">
        <v>2022</v>
      </c>
      <c r="D2">
        <v>72.209999999999994</v>
      </c>
    </row>
    <row r="3" spans="1:4" x14ac:dyDescent="0.35">
      <c r="A3">
        <f>VLOOKUP(B3,'[1]Dane municipios'!$B$199:$C$321,2,0)</f>
        <v>15022</v>
      </c>
      <c r="B3" t="s">
        <v>43</v>
      </c>
      <c r="C3">
        <v>2022</v>
      </c>
      <c r="D3">
        <v>63.22</v>
      </c>
    </row>
    <row r="4" spans="1:4" x14ac:dyDescent="0.35">
      <c r="A4">
        <f>VLOOKUP(B4,'[1]Dane municipios'!$B$199:$C$321,2,0)</f>
        <v>15047</v>
      </c>
      <c r="B4" t="s">
        <v>44</v>
      </c>
      <c r="C4">
        <v>2022</v>
      </c>
      <c r="D4">
        <v>67.069999999999993</v>
      </c>
    </row>
    <row r="5" spans="1:4" x14ac:dyDescent="0.35">
      <c r="A5">
        <f>VLOOKUP(B5,'[1]Dane municipios'!$B$199:$C$321,2,0)</f>
        <v>15051</v>
      </c>
      <c r="B5" t="s">
        <v>45</v>
      </c>
      <c r="C5">
        <v>2022</v>
      </c>
      <c r="D5">
        <v>70.959999999999994</v>
      </c>
    </row>
    <row r="6" spans="1:4" x14ac:dyDescent="0.35">
      <c r="A6">
        <f>VLOOKUP(B6,'[1]Dane municipios'!$B$199:$C$321,2,0)</f>
        <v>15087</v>
      </c>
      <c r="B6" t="s">
        <v>135</v>
      </c>
      <c r="C6">
        <v>2022</v>
      </c>
      <c r="D6">
        <v>74.87</v>
      </c>
    </row>
    <row r="7" spans="1:4" x14ac:dyDescent="0.35">
      <c r="A7">
        <f>VLOOKUP(B7,'[1]Dane municipios'!$B$199:$C$321,2,0)</f>
        <v>15090</v>
      </c>
      <c r="B7" t="s">
        <v>46</v>
      </c>
      <c r="C7">
        <v>2022</v>
      </c>
      <c r="D7">
        <v>72.459999999999994</v>
      </c>
    </row>
    <row r="8" spans="1:4" x14ac:dyDescent="0.35">
      <c r="A8">
        <f>VLOOKUP(B8,'[1]Dane municipios'!$B$199:$C$321,2,0)</f>
        <v>15092</v>
      </c>
      <c r="B8" t="s">
        <v>136</v>
      </c>
      <c r="C8">
        <v>2022</v>
      </c>
      <c r="D8">
        <v>63.3</v>
      </c>
    </row>
    <row r="9" spans="1:4" x14ac:dyDescent="0.35">
      <c r="A9">
        <f>VLOOKUP(B9,'[1]Dane municipios'!$B$199:$C$321,2,0)</f>
        <v>15097</v>
      </c>
      <c r="B9" t="s">
        <v>47</v>
      </c>
      <c r="C9">
        <v>2022</v>
      </c>
      <c r="D9">
        <v>69.52</v>
      </c>
    </row>
    <row r="10" spans="1:4" x14ac:dyDescent="0.35">
      <c r="A10">
        <f>VLOOKUP(B10,'[1]Dane municipios'!$B$199:$C$321,2,0)</f>
        <v>15104</v>
      </c>
      <c r="B10" t="s">
        <v>137</v>
      </c>
      <c r="C10">
        <v>2022</v>
      </c>
      <c r="D10">
        <v>58.85</v>
      </c>
    </row>
    <row r="11" spans="1:4" x14ac:dyDescent="0.35">
      <c r="A11">
        <f>VLOOKUP(B11,'[1]Dane municipios'!$B$199:$C$321,2,0)</f>
        <v>15106</v>
      </c>
      <c r="B11" t="s">
        <v>48</v>
      </c>
      <c r="C11">
        <v>2022</v>
      </c>
      <c r="D11">
        <v>70.38</v>
      </c>
    </row>
    <row r="12" spans="1:4" x14ac:dyDescent="0.35">
      <c r="A12">
        <f>VLOOKUP(B12,'[1]Dane municipios'!$B$199:$C$321,2,0)</f>
        <v>15109</v>
      </c>
      <c r="B12" t="s">
        <v>49</v>
      </c>
      <c r="C12">
        <v>2022</v>
      </c>
      <c r="D12">
        <v>73.099999999999994</v>
      </c>
    </row>
    <row r="13" spans="1:4" x14ac:dyDescent="0.35">
      <c r="A13">
        <f>VLOOKUP(B13,'[1]Dane municipios'!$B$199:$C$321,2,0)</f>
        <v>15114</v>
      </c>
      <c r="B13" t="s">
        <v>141</v>
      </c>
      <c r="C13">
        <v>2022</v>
      </c>
      <c r="D13">
        <v>51.45</v>
      </c>
    </row>
    <row r="14" spans="1:4" x14ac:dyDescent="0.35">
      <c r="A14">
        <f>VLOOKUP(B14,'[1]Dane municipios'!$B$199:$C$321,2,0)</f>
        <v>15131</v>
      </c>
      <c r="B14" t="s">
        <v>50</v>
      </c>
      <c r="C14">
        <v>2022</v>
      </c>
      <c r="D14">
        <v>66.319999999999993</v>
      </c>
    </row>
    <row r="15" spans="1:4" x14ac:dyDescent="0.35">
      <c r="A15">
        <f>VLOOKUP(B15,'[1]Dane municipios'!$B$199:$C$321,2,0)</f>
        <v>15135</v>
      </c>
      <c r="B15" t="s">
        <v>51</v>
      </c>
      <c r="C15">
        <v>2022</v>
      </c>
      <c r="D15">
        <v>69.02</v>
      </c>
    </row>
    <row r="16" spans="1:4" x14ac:dyDescent="0.35">
      <c r="A16">
        <f>VLOOKUP(B16,'[1]Dane municipios'!$B$199:$C$321,2,0)</f>
        <v>15162</v>
      </c>
      <c r="B16" t="s">
        <v>52</v>
      </c>
      <c r="C16">
        <v>2022</v>
      </c>
      <c r="D16">
        <v>70.510000000000005</v>
      </c>
    </row>
    <row r="17" spans="1:4" x14ac:dyDescent="0.35">
      <c r="A17">
        <f>VLOOKUP(B17,'[1]Dane municipios'!$B$199:$C$321,2,0)</f>
        <v>15172</v>
      </c>
      <c r="B17" t="s">
        <v>53</v>
      </c>
      <c r="C17">
        <v>2022</v>
      </c>
      <c r="D17">
        <v>71.75</v>
      </c>
    </row>
    <row r="18" spans="1:4" x14ac:dyDescent="0.35">
      <c r="A18">
        <f>VLOOKUP(B18,'[1]Dane municipios'!$B$199:$C$321,2,0)</f>
        <v>15176</v>
      </c>
      <c r="B18" t="s">
        <v>142</v>
      </c>
      <c r="C18">
        <v>2022</v>
      </c>
      <c r="D18">
        <v>67.23</v>
      </c>
    </row>
    <row r="19" spans="1:4" x14ac:dyDescent="0.35">
      <c r="A19">
        <f>VLOOKUP(B19,'[1]Dane municipios'!$B$199:$C$321,2,0)</f>
        <v>15180</v>
      </c>
      <c r="B19" t="s">
        <v>54</v>
      </c>
      <c r="C19">
        <v>2022</v>
      </c>
      <c r="D19">
        <v>57.46</v>
      </c>
    </row>
    <row r="20" spans="1:4" x14ac:dyDescent="0.35">
      <c r="A20">
        <f>VLOOKUP(B20,'[1]Dane municipios'!$B$199:$C$321,2,0)</f>
        <v>15183</v>
      </c>
      <c r="B20" t="s">
        <v>55</v>
      </c>
      <c r="C20">
        <v>2022</v>
      </c>
      <c r="D20">
        <v>68.37</v>
      </c>
    </row>
    <row r="21" spans="1:4" x14ac:dyDescent="0.35">
      <c r="A21">
        <f>VLOOKUP(B21,'[1]Dane municipios'!$B$199:$C$321,2,0)</f>
        <v>15185</v>
      </c>
      <c r="B21" t="s">
        <v>56</v>
      </c>
      <c r="C21">
        <v>2022</v>
      </c>
      <c r="D21">
        <v>72.319999999999993</v>
      </c>
    </row>
    <row r="22" spans="1:4" x14ac:dyDescent="0.35">
      <c r="A22">
        <f>VLOOKUP(B22,'[1]Dane municipios'!$B$199:$C$321,2,0)</f>
        <v>15187</v>
      </c>
      <c r="B22" t="s">
        <v>143</v>
      </c>
      <c r="C22">
        <v>2022</v>
      </c>
      <c r="D22">
        <v>66.56</v>
      </c>
    </row>
    <row r="23" spans="1:4" x14ac:dyDescent="0.35">
      <c r="A23">
        <f>VLOOKUP(B23,'[1]Dane municipios'!$B$199:$C$321,2,0)</f>
        <v>15189</v>
      </c>
      <c r="B23" t="s">
        <v>144</v>
      </c>
      <c r="C23">
        <v>2022</v>
      </c>
      <c r="D23">
        <v>71.680000000000007</v>
      </c>
    </row>
    <row r="24" spans="1:4" x14ac:dyDescent="0.35">
      <c r="A24">
        <f>VLOOKUP(B24,'[1]Dane municipios'!$B$199:$C$321,2,0)</f>
        <v>15204</v>
      </c>
      <c r="B24" t="s">
        <v>145</v>
      </c>
      <c r="C24">
        <v>2022</v>
      </c>
      <c r="D24">
        <v>66.19</v>
      </c>
    </row>
    <row r="25" spans="1:4" x14ac:dyDescent="0.35">
      <c r="A25">
        <f>VLOOKUP(B25,'[1]Dane municipios'!$B$199:$C$321,2,0)</f>
        <v>15212</v>
      </c>
      <c r="B25" t="s">
        <v>57</v>
      </c>
      <c r="C25">
        <v>2022</v>
      </c>
      <c r="D25">
        <v>64.540000000000006</v>
      </c>
    </row>
    <row r="26" spans="1:4" x14ac:dyDescent="0.35">
      <c r="A26">
        <f>VLOOKUP(B26,'[1]Dane municipios'!$B$199:$C$321,2,0)</f>
        <v>15215</v>
      </c>
      <c r="B26" t="s">
        <v>58</v>
      </c>
      <c r="C26">
        <v>2022</v>
      </c>
      <c r="D26">
        <v>71.239999999999995</v>
      </c>
    </row>
    <row r="27" spans="1:4" x14ac:dyDescent="0.35">
      <c r="A27">
        <f>VLOOKUP(B27,'[1]Dane municipios'!$B$199:$C$321,2,0)</f>
        <v>15218</v>
      </c>
      <c r="B27" t="s">
        <v>146</v>
      </c>
      <c r="C27">
        <v>2022</v>
      </c>
      <c r="D27">
        <v>56.49</v>
      </c>
    </row>
    <row r="28" spans="1:4" x14ac:dyDescent="0.35">
      <c r="A28">
        <f>VLOOKUP(B28,'[1]Dane municipios'!$B$199:$C$321,2,0)</f>
        <v>15223</v>
      </c>
      <c r="B28" t="s">
        <v>148</v>
      </c>
      <c r="C28">
        <v>2022</v>
      </c>
      <c r="D28">
        <v>60.39</v>
      </c>
    </row>
    <row r="29" spans="1:4" x14ac:dyDescent="0.35">
      <c r="A29">
        <f>VLOOKUP(B29,'[1]Dane municipios'!$B$199:$C$321,2,0)</f>
        <v>15224</v>
      </c>
      <c r="B29" t="s">
        <v>59</v>
      </c>
      <c r="C29">
        <v>2022</v>
      </c>
      <c r="D29">
        <v>72.56</v>
      </c>
    </row>
    <row r="30" spans="1:4" x14ac:dyDescent="0.35">
      <c r="A30">
        <f>VLOOKUP(B30,'[1]Dane municipios'!$B$199:$C$321,2,0)</f>
        <v>15226</v>
      </c>
      <c r="B30" t="s">
        <v>147</v>
      </c>
      <c r="C30">
        <v>2022</v>
      </c>
      <c r="D30">
        <v>60.28</v>
      </c>
    </row>
    <row r="31" spans="1:4" x14ac:dyDescent="0.35">
      <c r="A31">
        <f>VLOOKUP(B31,'[1]Dane municipios'!$B$199:$C$321,2,0)</f>
        <v>15232</v>
      </c>
      <c r="B31" t="s">
        <v>149</v>
      </c>
      <c r="C31">
        <v>2022</v>
      </c>
      <c r="D31">
        <v>65.260000000000005</v>
      </c>
    </row>
    <row r="32" spans="1:4" x14ac:dyDescent="0.35">
      <c r="A32">
        <f>VLOOKUP(B32,'[1]Dane municipios'!$B$199:$C$321,2,0)</f>
        <v>15236</v>
      </c>
      <c r="B32" t="s">
        <v>60</v>
      </c>
      <c r="C32">
        <v>2022</v>
      </c>
      <c r="D32">
        <v>64.040000000000006</v>
      </c>
    </row>
    <row r="33" spans="1:4" x14ac:dyDescent="0.35">
      <c r="A33">
        <f>VLOOKUP(B33,'[1]Dane municipios'!$B$199:$C$321,2,0)</f>
        <v>15238</v>
      </c>
      <c r="B33" t="s">
        <v>61</v>
      </c>
      <c r="C33">
        <v>2022</v>
      </c>
      <c r="D33">
        <v>71.59</v>
      </c>
    </row>
    <row r="34" spans="1:4" x14ac:dyDescent="0.35">
      <c r="A34">
        <f>VLOOKUP(B34,'[1]Dane municipios'!$B$199:$C$321,2,0)</f>
        <v>15244</v>
      </c>
      <c r="B34" t="s">
        <v>62</v>
      </c>
      <c r="C34">
        <v>2022</v>
      </c>
      <c r="D34">
        <v>65.78</v>
      </c>
    </row>
    <row r="35" spans="1:4" x14ac:dyDescent="0.35">
      <c r="A35">
        <f>VLOOKUP(B35,'[1]Dane municipios'!$B$199:$C$321,2,0)</f>
        <v>15248</v>
      </c>
      <c r="B35" t="s">
        <v>63</v>
      </c>
      <c r="C35">
        <v>2022</v>
      </c>
      <c r="D35">
        <v>59.65</v>
      </c>
    </row>
    <row r="36" spans="1:4" x14ac:dyDescent="0.35">
      <c r="A36">
        <f>VLOOKUP(B36,'[1]Dane municipios'!$B$199:$C$321,2,0)</f>
        <v>15272</v>
      </c>
      <c r="B36" t="s">
        <v>64</v>
      </c>
      <c r="C36">
        <v>2022</v>
      </c>
      <c r="D36">
        <v>65.900000000000006</v>
      </c>
    </row>
    <row r="37" spans="1:4" x14ac:dyDescent="0.35">
      <c r="A37">
        <f>VLOOKUP(B37,'[1]Dane municipios'!$B$199:$C$321,2,0)</f>
        <v>15276</v>
      </c>
      <c r="B37" t="s">
        <v>65</v>
      </c>
      <c r="C37">
        <v>2022</v>
      </c>
      <c r="D37">
        <v>77.25</v>
      </c>
    </row>
    <row r="38" spans="1:4" x14ac:dyDescent="0.35">
      <c r="A38">
        <f>VLOOKUP(B38,'[1]Dane municipios'!$B$199:$C$321,2,0)</f>
        <v>15293</v>
      </c>
      <c r="B38" t="s">
        <v>150</v>
      </c>
      <c r="C38">
        <v>2022</v>
      </c>
      <c r="D38">
        <v>71.709999999999994</v>
      </c>
    </row>
    <row r="39" spans="1:4" x14ac:dyDescent="0.35">
      <c r="A39">
        <f>VLOOKUP(B39,'[1]Dane municipios'!$B$199:$C$321,2,0)</f>
        <v>15296</v>
      </c>
      <c r="B39" t="s">
        <v>151</v>
      </c>
      <c r="C39">
        <v>2022</v>
      </c>
      <c r="D39">
        <v>62.05</v>
      </c>
    </row>
    <row r="40" spans="1:4" x14ac:dyDescent="0.35">
      <c r="A40">
        <f>VLOOKUP(B40,'[1]Dane municipios'!$B$199:$C$321,2,0)</f>
        <v>15299</v>
      </c>
      <c r="B40" t="s">
        <v>66</v>
      </c>
      <c r="C40">
        <v>2022</v>
      </c>
      <c r="D40">
        <v>62.42</v>
      </c>
    </row>
    <row r="41" spans="1:4" x14ac:dyDescent="0.35">
      <c r="A41">
        <f>VLOOKUP(B41,'[1]Dane municipios'!$B$199:$C$321,2,0)</f>
        <v>15317</v>
      </c>
      <c r="B41" t="s">
        <v>67</v>
      </c>
      <c r="C41">
        <v>2022</v>
      </c>
      <c r="D41">
        <v>51.04</v>
      </c>
    </row>
    <row r="42" spans="1:4" x14ac:dyDescent="0.35">
      <c r="A42">
        <f>VLOOKUP(B42,'[1]Dane municipios'!$B$199:$C$321,2,0)</f>
        <v>15322</v>
      </c>
      <c r="B42" t="s">
        <v>68</v>
      </c>
      <c r="C42">
        <v>2022</v>
      </c>
      <c r="D42">
        <v>69.62</v>
      </c>
    </row>
    <row r="43" spans="1:4" x14ac:dyDescent="0.35">
      <c r="A43">
        <f>VLOOKUP(B43,'[1]Dane municipios'!$B$199:$C$321,2,0)</f>
        <v>15325</v>
      </c>
      <c r="B43" t="s">
        <v>152</v>
      </c>
      <c r="C43">
        <v>2022</v>
      </c>
      <c r="D43">
        <v>69.53</v>
      </c>
    </row>
    <row r="44" spans="1:4" x14ac:dyDescent="0.35">
      <c r="A44">
        <f>VLOOKUP(B44,'[1]Dane municipios'!$B$199:$C$321,2,0)</f>
        <v>15332</v>
      </c>
      <c r="B44" t="s">
        <v>153</v>
      </c>
      <c r="C44">
        <v>2022</v>
      </c>
      <c r="D44">
        <v>66.099999999999994</v>
      </c>
    </row>
    <row r="45" spans="1:4" x14ac:dyDescent="0.35">
      <c r="A45">
        <f>VLOOKUP(B45,'[1]Dane municipios'!$B$199:$C$321,2,0)</f>
        <v>15362</v>
      </c>
      <c r="B45" t="s">
        <v>69</v>
      </c>
      <c r="C45">
        <v>2022</v>
      </c>
      <c r="D45">
        <v>69.86</v>
      </c>
    </row>
    <row r="46" spans="1:4" x14ac:dyDescent="0.35">
      <c r="A46">
        <f>VLOOKUP(B46,'[1]Dane municipios'!$B$199:$C$321,2,0)</f>
        <v>15367</v>
      </c>
      <c r="B46" t="s">
        <v>70</v>
      </c>
      <c r="C46">
        <v>2022</v>
      </c>
      <c r="D46">
        <v>70.78</v>
      </c>
    </row>
    <row r="47" spans="1:4" x14ac:dyDescent="0.35">
      <c r="A47">
        <f>VLOOKUP(B47,'[1]Dane municipios'!$B$199:$C$321,2,0)</f>
        <v>15368</v>
      </c>
      <c r="B47" t="s">
        <v>154</v>
      </c>
      <c r="C47">
        <v>2022</v>
      </c>
      <c r="D47">
        <v>64.180000000000007</v>
      </c>
    </row>
    <row r="48" spans="1:4" x14ac:dyDescent="0.35">
      <c r="A48">
        <f>VLOOKUP(B48,'[1]Dane municipios'!$B$199:$C$321,2,0)</f>
        <v>15377</v>
      </c>
      <c r="B48" t="s">
        <v>71</v>
      </c>
      <c r="C48">
        <v>2022</v>
      </c>
      <c r="D48">
        <v>59.68</v>
      </c>
    </row>
    <row r="49" spans="1:4" x14ac:dyDescent="0.35">
      <c r="A49">
        <f>VLOOKUP(B49,'[1]Dane municipios'!$B$199:$C$321,2,0)</f>
        <v>15380</v>
      </c>
      <c r="B49" t="s">
        <v>72</v>
      </c>
      <c r="C49">
        <v>2022</v>
      </c>
      <c r="D49">
        <v>67.97</v>
      </c>
    </row>
    <row r="50" spans="1:4" x14ac:dyDescent="0.35">
      <c r="A50">
        <f>VLOOKUP(B50,'[1]Dane municipios'!$B$199:$C$321,2,0)</f>
        <v>15401</v>
      </c>
      <c r="B50" t="s">
        <v>73</v>
      </c>
      <c r="C50">
        <v>2022</v>
      </c>
      <c r="D50">
        <v>63.6</v>
      </c>
    </row>
    <row r="51" spans="1:4" x14ac:dyDescent="0.35">
      <c r="A51">
        <f>VLOOKUP(B51,'[1]Dane municipios'!$B$199:$C$321,2,0)</f>
        <v>15403</v>
      </c>
      <c r="B51" t="s">
        <v>74</v>
      </c>
      <c r="C51">
        <v>2022</v>
      </c>
      <c r="D51">
        <v>69.349999999999994</v>
      </c>
    </row>
    <row r="52" spans="1:4" x14ac:dyDescent="0.35">
      <c r="A52">
        <f>VLOOKUP(B52,'[1]Dane municipios'!$B$199:$C$321,2,0)</f>
        <v>15407</v>
      </c>
      <c r="B52" t="s">
        <v>75</v>
      </c>
      <c r="C52">
        <v>2022</v>
      </c>
      <c r="D52">
        <v>76.38</v>
      </c>
    </row>
    <row r="53" spans="1:4" x14ac:dyDescent="0.35">
      <c r="A53">
        <f>VLOOKUP(B53,'[1]Dane municipios'!$B$199:$C$321,2,0)</f>
        <v>15425</v>
      </c>
      <c r="B53" t="s">
        <v>76</v>
      </c>
      <c r="C53">
        <v>2022</v>
      </c>
      <c r="D53">
        <v>61.48</v>
      </c>
    </row>
    <row r="54" spans="1:4" x14ac:dyDescent="0.35">
      <c r="A54">
        <f>VLOOKUP(B54,'[1]Dane municipios'!$B$199:$C$321,2,0)</f>
        <v>15442</v>
      </c>
      <c r="B54" t="s">
        <v>155</v>
      </c>
      <c r="C54">
        <v>2022</v>
      </c>
      <c r="D54">
        <v>63.99</v>
      </c>
    </row>
    <row r="55" spans="1:4" x14ac:dyDescent="0.35">
      <c r="A55">
        <f>VLOOKUP(B55,'[1]Dane municipios'!$B$199:$C$321,2,0)</f>
        <v>15455</v>
      </c>
      <c r="B55" t="s">
        <v>77</v>
      </c>
      <c r="C55">
        <v>2022</v>
      </c>
      <c r="D55">
        <v>69.31</v>
      </c>
    </row>
    <row r="56" spans="1:4" x14ac:dyDescent="0.35">
      <c r="A56">
        <f>VLOOKUP(B56,'[1]Dane municipios'!$B$199:$C$321,2,0)</f>
        <v>15464</v>
      </c>
      <c r="B56" t="s">
        <v>78</v>
      </c>
      <c r="C56">
        <v>2022</v>
      </c>
      <c r="D56">
        <v>60.33</v>
      </c>
    </row>
    <row r="57" spans="1:4" x14ac:dyDescent="0.35">
      <c r="A57">
        <f>VLOOKUP(B57,'[1]Dane municipios'!$B$199:$C$321,2,0)</f>
        <v>15466</v>
      </c>
      <c r="B57" t="s">
        <v>156</v>
      </c>
      <c r="C57">
        <v>2022</v>
      </c>
      <c r="D57">
        <v>65.38</v>
      </c>
    </row>
    <row r="58" spans="1:4" x14ac:dyDescent="0.35">
      <c r="A58">
        <f>VLOOKUP(B58,'[1]Dane municipios'!$B$199:$C$321,2,0)</f>
        <v>15469</v>
      </c>
      <c r="B58" t="s">
        <v>157</v>
      </c>
      <c r="C58">
        <v>2022</v>
      </c>
      <c r="D58">
        <v>69.8</v>
      </c>
    </row>
    <row r="59" spans="1:4" x14ac:dyDescent="0.35">
      <c r="A59">
        <f>VLOOKUP(B59,'[1]Dane municipios'!$B$199:$C$321,2,0)</f>
        <v>15476</v>
      </c>
      <c r="B59" t="s">
        <v>79</v>
      </c>
      <c r="C59">
        <v>2022</v>
      </c>
      <c r="D59">
        <v>62.73</v>
      </c>
    </row>
    <row r="60" spans="1:4" x14ac:dyDescent="0.35">
      <c r="A60">
        <f>VLOOKUP(B60,'[1]Dane municipios'!$B$199:$C$321,2,0)</f>
        <v>15480</v>
      </c>
      <c r="B60" t="s">
        <v>80</v>
      </c>
      <c r="C60">
        <v>2022</v>
      </c>
      <c r="D60">
        <v>71.069999999999993</v>
      </c>
    </row>
    <row r="61" spans="1:4" x14ac:dyDescent="0.35">
      <c r="A61">
        <f>VLOOKUP(B61,'[1]Dane municipios'!$B$199:$C$321,2,0)</f>
        <v>15491</v>
      </c>
      <c r="B61" t="s">
        <v>81</v>
      </c>
      <c r="C61">
        <v>2022</v>
      </c>
      <c r="D61">
        <v>69.959999999999994</v>
      </c>
    </row>
    <row r="62" spans="1:4" x14ac:dyDescent="0.35">
      <c r="A62">
        <f>VLOOKUP(B62,'[1]Dane municipios'!$B$199:$C$321,2,0)</f>
        <v>15494</v>
      </c>
      <c r="B62" t="s">
        <v>158</v>
      </c>
      <c r="C62">
        <v>2022</v>
      </c>
      <c r="D62">
        <v>73.34</v>
      </c>
    </row>
    <row r="63" spans="1:4" x14ac:dyDescent="0.35">
      <c r="A63">
        <f>VLOOKUP(B63,'[1]Dane municipios'!$B$199:$C$321,2,0)</f>
        <v>15500</v>
      </c>
      <c r="B63" t="s">
        <v>159</v>
      </c>
      <c r="C63">
        <v>2022</v>
      </c>
      <c r="D63">
        <v>64.239999999999995</v>
      </c>
    </row>
    <row r="64" spans="1:4" x14ac:dyDescent="0.35">
      <c r="A64">
        <f>VLOOKUP(B64,'[1]Dane municipios'!$B$199:$C$321,2,0)</f>
        <v>15507</v>
      </c>
      <c r="B64" t="s">
        <v>82</v>
      </c>
      <c r="C64">
        <v>2022</v>
      </c>
      <c r="D64">
        <v>66.819999999999993</v>
      </c>
    </row>
    <row r="65" spans="1:4" x14ac:dyDescent="0.35">
      <c r="A65">
        <f>VLOOKUP(B65,'[1]Dane municipios'!$B$199:$C$321,2,0)</f>
        <v>15511</v>
      </c>
      <c r="B65" t="s">
        <v>83</v>
      </c>
      <c r="C65">
        <v>2022</v>
      </c>
      <c r="D65">
        <v>67.010000000000005</v>
      </c>
    </row>
    <row r="66" spans="1:4" x14ac:dyDescent="0.35">
      <c r="A66">
        <f>VLOOKUP(B66,'[1]Dane municipios'!$B$199:$C$321,2,0)</f>
        <v>15514</v>
      </c>
      <c r="B66" t="s">
        <v>160</v>
      </c>
      <c r="C66">
        <v>2022</v>
      </c>
      <c r="D66">
        <v>66.73</v>
      </c>
    </row>
    <row r="67" spans="1:4" x14ac:dyDescent="0.35">
      <c r="A67">
        <f>VLOOKUP(B67,'[1]Dane municipios'!$B$199:$C$321,2,0)</f>
        <v>15516</v>
      </c>
      <c r="B67" t="s">
        <v>84</v>
      </c>
      <c r="C67">
        <v>2022</v>
      </c>
      <c r="D67">
        <v>78.010000000000005</v>
      </c>
    </row>
    <row r="68" spans="1:4" x14ac:dyDescent="0.35">
      <c r="A68">
        <f>VLOOKUP(B68,'[1]Dane municipios'!$B$199:$C$321,2,0)</f>
        <v>15518</v>
      </c>
      <c r="B68" t="s">
        <v>85</v>
      </c>
      <c r="C68">
        <v>2022</v>
      </c>
      <c r="D68">
        <v>61.54</v>
      </c>
    </row>
    <row r="69" spans="1:4" x14ac:dyDescent="0.35">
      <c r="A69">
        <f>VLOOKUP(B69,'[1]Dane municipios'!$B$199:$C$321,2,0)</f>
        <v>15522</v>
      </c>
      <c r="B69" t="s">
        <v>86</v>
      </c>
      <c r="C69">
        <v>2022</v>
      </c>
      <c r="D69">
        <v>53.14</v>
      </c>
    </row>
    <row r="70" spans="1:4" x14ac:dyDescent="0.35">
      <c r="A70">
        <f>VLOOKUP(B70,'[1]Dane municipios'!$B$199:$C$321,2,0)</f>
        <v>15531</v>
      </c>
      <c r="B70" t="s">
        <v>87</v>
      </c>
      <c r="C70">
        <v>2022</v>
      </c>
      <c r="D70">
        <v>69.900000000000006</v>
      </c>
    </row>
    <row r="71" spans="1:4" x14ac:dyDescent="0.35">
      <c r="A71">
        <f>VLOOKUP(B71,'[1]Dane municipios'!$B$199:$C$321,2,0)</f>
        <v>15533</v>
      </c>
      <c r="B71" t="s">
        <v>88</v>
      </c>
      <c r="C71">
        <v>2022</v>
      </c>
      <c r="D71">
        <v>58.87</v>
      </c>
    </row>
    <row r="72" spans="1:4" x14ac:dyDescent="0.35">
      <c r="A72">
        <f>VLOOKUP(B72,'[1]Dane municipios'!$B$199:$C$321,2,0)</f>
        <v>15537</v>
      </c>
      <c r="B72" t="s">
        <v>161</v>
      </c>
      <c r="C72">
        <v>2022</v>
      </c>
      <c r="D72">
        <v>69.12</v>
      </c>
    </row>
    <row r="73" spans="1:4" x14ac:dyDescent="0.35">
      <c r="A73">
        <f>VLOOKUP(B73,'[1]Dane municipios'!$B$199:$C$321,2,0)</f>
        <v>15542</v>
      </c>
      <c r="B73" t="s">
        <v>89</v>
      </c>
      <c r="C73">
        <v>2022</v>
      </c>
      <c r="D73">
        <v>62.14</v>
      </c>
    </row>
    <row r="74" spans="1:4" x14ac:dyDescent="0.35">
      <c r="A74">
        <f>VLOOKUP(B74,'[1]Dane municipios'!$B$199:$C$321,2,0)</f>
        <v>15550</v>
      </c>
      <c r="B74" t="s">
        <v>90</v>
      </c>
      <c r="C74">
        <v>2022</v>
      </c>
      <c r="D74">
        <v>61.22</v>
      </c>
    </row>
    <row r="75" spans="1:4" x14ac:dyDescent="0.35">
      <c r="A75">
        <f>VLOOKUP(B75,'[1]Dane municipios'!$B$199:$C$321,2,0)</f>
        <v>15572</v>
      </c>
      <c r="B75" t="s">
        <v>138</v>
      </c>
      <c r="C75">
        <v>2022</v>
      </c>
      <c r="D75">
        <v>73.52</v>
      </c>
    </row>
    <row r="76" spans="1:4" x14ac:dyDescent="0.35">
      <c r="A76">
        <f>VLOOKUP(B76,'[1]Dane municipios'!$B$199:$C$321,2,0)</f>
        <v>15580</v>
      </c>
      <c r="B76" t="s">
        <v>162</v>
      </c>
      <c r="C76">
        <v>2022</v>
      </c>
      <c r="D76">
        <v>65.42</v>
      </c>
    </row>
    <row r="77" spans="1:4" x14ac:dyDescent="0.35">
      <c r="A77">
        <f>VLOOKUP(B77,'[1]Dane municipios'!$B$199:$C$321,2,0)</f>
        <v>15599</v>
      </c>
      <c r="B77" t="s">
        <v>163</v>
      </c>
      <c r="C77">
        <v>2022</v>
      </c>
      <c r="D77">
        <v>73.489999999999995</v>
      </c>
    </row>
    <row r="78" spans="1:4" x14ac:dyDescent="0.35">
      <c r="A78">
        <f>VLOOKUP(B78,'[1]Dane municipios'!$B$199:$C$321,2,0)</f>
        <v>15600</v>
      </c>
      <c r="B78" t="s">
        <v>164</v>
      </c>
      <c r="C78">
        <v>2022</v>
      </c>
      <c r="D78">
        <v>63.06</v>
      </c>
    </row>
    <row r="79" spans="1:4" x14ac:dyDescent="0.35">
      <c r="A79">
        <f>VLOOKUP(B79,'[1]Dane municipios'!$B$199:$C$321,2,0)</f>
        <v>15621</v>
      </c>
      <c r="B79" t="s">
        <v>165</v>
      </c>
      <c r="C79">
        <v>2022</v>
      </c>
      <c r="D79">
        <v>62.39</v>
      </c>
    </row>
    <row r="80" spans="1:4" x14ac:dyDescent="0.35">
      <c r="A80">
        <f>VLOOKUP(B80,'[1]Dane municipios'!$B$199:$C$321,2,0)</f>
        <v>15632</v>
      </c>
      <c r="B80" t="s">
        <v>166</v>
      </c>
      <c r="C80">
        <v>2022</v>
      </c>
      <c r="D80">
        <v>66.42</v>
      </c>
    </row>
    <row r="81" spans="1:4" x14ac:dyDescent="0.35">
      <c r="A81">
        <f>VLOOKUP(B81,'[1]Dane municipios'!$B$199:$C$321,2,0)</f>
        <v>15638</v>
      </c>
      <c r="B81" t="s">
        <v>167</v>
      </c>
      <c r="C81">
        <v>2022</v>
      </c>
      <c r="D81">
        <v>72.680000000000007</v>
      </c>
    </row>
    <row r="82" spans="1:4" x14ac:dyDescent="0.35">
      <c r="A82">
        <f>VLOOKUP(B82,'[1]Dane municipios'!$B$199:$C$321,2,0)</f>
        <v>15646</v>
      </c>
      <c r="B82" t="s">
        <v>168</v>
      </c>
      <c r="C82">
        <v>2022</v>
      </c>
      <c r="D82">
        <v>76.47</v>
      </c>
    </row>
    <row r="83" spans="1:4" x14ac:dyDescent="0.35">
      <c r="A83">
        <f>VLOOKUP(B83,'[1]Dane municipios'!$B$199:$C$321,2,0)</f>
        <v>15660</v>
      </c>
      <c r="B83" t="s">
        <v>91</v>
      </c>
      <c r="C83">
        <v>2022</v>
      </c>
      <c r="D83">
        <v>72.42</v>
      </c>
    </row>
    <row r="84" spans="1:4" x14ac:dyDescent="0.35">
      <c r="A84">
        <f>VLOOKUP(B84,'[1]Dane municipios'!$B$199:$C$321,2,0)</f>
        <v>15664</v>
      </c>
      <c r="B84" t="s">
        <v>169</v>
      </c>
      <c r="C84">
        <v>2022</v>
      </c>
      <c r="D84">
        <v>68.209999999999994</v>
      </c>
    </row>
    <row r="85" spans="1:4" x14ac:dyDescent="0.35">
      <c r="A85">
        <f>VLOOKUP(B85,'[1]Dane municipios'!$B$199:$C$321,2,0)</f>
        <v>15667</v>
      </c>
      <c r="B85" t="s">
        <v>92</v>
      </c>
      <c r="C85">
        <v>2022</v>
      </c>
      <c r="D85">
        <v>66.55</v>
      </c>
    </row>
    <row r="86" spans="1:4" x14ac:dyDescent="0.35">
      <c r="A86">
        <f>VLOOKUP(B86,'[1]Dane municipios'!$B$199:$C$321,2,0)</f>
        <v>15673</v>
      </c>
      <c r="B86" t="s">
        <v>93</v>
      </c>
      <c r="C86">
        <v>2022</v>
      </c>
      <c r="D86">
        <v>69.099999999999994</v>
      </c>
    </row>
    <row r="87" spans="1:4" x14ac:dyDescent="0.35">
      <c r="A87">
        <f>VLOOKUP(B87,'[1]Dane municipios'!$B$199:$C$321,2,0)</f>
        <v>15676</v>
      </c>
      <c r="B87" t="s">
        <v>94</v>
      </c>
      <c r="C87">
        <v>2022</v>
      </c>
      <c r="D87">
        <v>76.510000000000005</v>
      </c>
    </row>
    <row r="88" spans="1:4" x14ac:dyDescent="0.35">
      <c r="A88">
        <f>VLOOKUP(B88,'[1]Dane municipios'!$B$199:$C$321,2,0)</f>
        <v>15681</v>
      </c>
      <c r="B88" t="s">
        <v>95</v>
      </c>
      <c r="C88">
        <v>2022</v>
      </c>
      <c r="D88">
        <v>65.78</v>
      </c>
    </row>
    <row r="89" spans="1:4" x14ac:dyDescent="0.35">
      <c r="A89">
        <f>VLOOKUP(B89,'[1]Dane municipios'!$B$199:$C$321,2,0)</f>
        <v>15686</v>
      </c>
      <c r="B89" t="s">
        <v>96</v>
      </c>
      <c r="C89">
        <v>2022</v>
      </c>
      <c r="D89">
        <v>76.72</v>
      </c>
    </row>
    <row r="90" spans="1:4" x14ac:dyDescent="0.35">
      <c r="A90">
        <f>VLOOKUP(B90,'[1]Dane municipios'!$B$199:$C$321,2,0)</f>
        <v>15690</v>
      </c>
      <c r="B90" t="s">
        <v>170</v>
      </c>
      <c r="C90">
        <v>2022</v>
      </c>
      <c r="D90">
        <v>71.27</v>
      </c>
    </row>
    <row r="91" spans="1:4" x14ac:dyDescent="0.35">
      <c r="A91">
        <f>VLOOKUP(B91,'[1]Dane municipios'!$B$199:$C$321,2,0)</f>
        <v>15693</v>
      </c>
      <c r="B91" t="s">
        <v>97</v>
      </c>
      <c r="C91">
        <v>2022</v>
      </c>
      <c r="D91">
        <v>70.48</v>
      </c>
    </row>
    <row r="92" spans="1:4" x14ac:dyDescent="0.35">
      <c r="A92">
        <f>VLOOKUP(B92,'[1]Dane municipios'!$B$199:$C$321,2,0)</f>
        <v>15696</v>
      </c>
      <c r="B92" t="s">
        <v>171</v>
      </c>
      <c r="C92">
        <v>2022</v>
      </c>
      <c r="D92">
        <v>66.83</v>
      </c>
    </row>
    <row r="93" spans="1:4" x14ac:dyDescent="0.35">
      <c r="A93">
        <f>VLOOKUP(B93,'[1]Dane municipios'!$B$199:$C$321,2,0)</f>
        <v>15720</v>
      </c>
      <c r="B93" t="s">
        <v>98</v>
      </c>
      <c r="C93">
        <v>2022</v>
      </c>
      <c r="D93">
        <v>67.5</v>
      </c>
    </row>
    <row r="94" spans="1:4" x14ac:dyDescent="0.35">
      <c r="A94">
        <f>VLOOKUP(B94,'[1]Dane municipios'!$B$199:$C$321,2,0)</f>
        <v>15723</v>
      </c>
      <c r="B94" t="s">
        <v>99</v>
      </c>
      <c r="C94">
        <v>2022</v>
      </c>
      <c r="D94">
        <v>68.09</v>
      </c>
    </row>
    <row r="95" spans="1:4" x14ac:dyDescent="0.35">
      <c r="A95">
        <f>VLOOKUP(B95,'[1]Dane municipios'!$B$199:$C$321,2,0)</f>
        <v>15740</v>
      </c>
      <c r="B95" t="s">
        <v>100</v>
      </c>
      <c r="C95">
        <v>2022</v>
      </c>
      <c r="D95">
        <v>71.64</v>
      </c>
    </row>
    <row r="96" spans="1:4" x14ac:dyDescent="0.35">
      <c r="A96">
        <f>VLOOKUP(B96,'[1]Dane municipios'!$B$199:$C$321,2,0)</f>
        <v>15753</v>
      </c>
      <c r="B96" t="s">
        <v>172</v>
      </c>
      <c r="C96">
        <v>2022</v>
      </c>
      <c r="D96">
        <v>66</v>
      </c>
    </row>
    <row r="97" spans="1:4" x14ac:dyDescent="0.35">
      <c r="A97">
        <f>VLOOKUP(B97,'[1]Dane municipios'!$B$199:$C$321,2,0)</f>
        <v>15755</v>
      </c>
      <c r="B97" t="s">
        <v>173</v>
      </c>
      <c r="C97">
        <v>2022</v>
      </c>
      <c r="D97">
        <v>66.2</v>
      </c>
    </row>
    <row r="98" spans="1:4" x14ac:dyDescent="0.35">
      <c r="A98">
        <f>VLOOKUP(B98,'[1]Dane municipios'!$B$199:$C$321,2,0)</f>
        <v>15757</v>
      </c>
      <c r="B98" t="s">
        <v>101</v>
      </c>
      <c r="C98">
        <v>2022</v>
      </c>
      <c r="D98">
        <v>75.41</v>
      </c>
    </row>
    <row r="99" spans="1:4" x14ac:dyDescent="0.35">
      <c r="A99">
        <f>VLOOKUP(B99,'[1]Dane municipios'!$B$199:$C$321,2,0)</f>
        <v>15759</v>
      </c>
      <c r="B99" t="s">
        <v>102</v>
      </c>
      <c r="C99">
        <v>2022</v>
      </c>
      <c r="D99">
        <v>77.7</v>
      </c>
    </row>
    <row r="100" spans="1:4" x14ac:dyDescent="0.35">
      <c r="A100">
        <f>VLOOKUP(B100,'[1]Dane municipios'!$B$199:$C$321,2,0)</f>
        <v>15761</v>
      </c>
      <c r="B100" t="s">
        <v>103</v>
      </c>
      <c r="C100">
        <v>2022</v>
      </c>
      <c r="D100">
        <v>71.53</v>
      </c>
    </row>
    <row r="101" spans="1:4" x14ac:dyDescent="0.35">
      <c r="A101">
        <f>VLOOKUP(B101,'[1]Dane municipios'!$B$199:$C$321,2,0)</f>
        <v>15762</v>
      </c>
      <c r="B101" t="s">
        <v>104</v>
      </c>
      <c r="C101">
        <v>2022</v>
      </c>
      <c r="D101">
        <v>59.8</v>
      </c>
    </row>
    <row r="102" spans="1:4" x14ac:dyDescent="0.35">
      <c r="A102">
        <f>VLOOKUP(B102,'[1]Dane municipios'!$B$199:$C$321,2,0)</f>
        <v>15763</v>
      </c>
      <c r="B102" t="s">
        <v>174</v>
      </c>
      <c r="C102">
        <v>2022</v>
      </c>
      <c r="D102">
        <v>65.48</v>
      </c>
    </row>
    <row r="103" spans="1:4" x14ac:dyDescent="0.35">
      <c r="A103">
        <f>VLOOKUP(B103,'[1]Dane municipios'!$B$199:$C$321,2,0)</f>
        <v>15764</v>
      </c>
      <c r="B103" t="s">
        <v>175</v>
      </c>
      <c r="C103">
        <v>2022</v>
      </c>
      <c r="D103">
        <v>72.86</v>
      </c>
    </row>
    <row r="104" spans="1:4" x14ac:dyDescent="0.35">
      <c r="A104">
        <f>VLOOKUP(B104,'[1]Dane municipios'!$B$199:$C$321,2,0)</f>
        <v>15774</v>
      </c>
      <c r="B104" t="s">
        <v>176</v>
      </c>
      <c r="C104">
        <v>2022</v>
      </c>
      <c r="D104">
        <v>60.42</v>
      </c>
    </row>
    <row r="105" spans="1:4" x14ac:dyDescent="0.35">
      <c r="A105">
        <f>VLOOKUP(B105,'[1]Dane municipios'!$B$199:$C$321,2,0)</f>
        <v>15776</v>
      </c>
      <c r="B105" t="s">
        <v>177</v>
      </c>
      <c r="C105">
        <v>2022</v>
      </c>
      <c r="D105">
        <v>72.48</v>
      </c>
    </row>
    <row r="106" spans="1:4" x14ac:dyDescent="0.35">
      <c r="A106">
        <f>VLOOKUP(B106,'[1]Dane municipios'!$B$199:$C$321,2,0)</f>
        <v>15778</v>
      </c>
      <c r="B106" t="s">
        <v>105</v>
      </c>
      <c r="C106">
        <v>2022</v>
      </c>
      <c r="D106">
        <v>68.22</v>
      </c>
    </row>
    <row r="107" spans="1:4" x14ac:dyDescent="0.35">
      <c r="A107">
        <f>VLOOKUP(B107,'[1]Dane municipios'!$B$199:$C$321,2,0)</f>
        <v>15790</v>
      </c>
      <c r="B107" t="s">
        <v>106</v>
      </c>
      <c r="C107">
        <v>2022</v>
      </c>
      <c r="D107">
        <v>61.83</v>
      </c>
    </row>
    <row r="108" spans="1:4" x14ac:dyDescent="0.35">
      <c r="A108">
        <f>VLOOKUP(B108,'[1]Dane municipios'!$B$199:$C$321,2,0)</f>
        <v>15798</v>
      </c>
      <c r="B108" t="s">
        <v>107</v>
      </c>
      <c r="C108">
        <v>2022</v>
      </c>
      <c r="D108">
        <v>69.8</v>
      </c>
    </row>
    <row r="109" spans="1:4" x14ac:dyDescent="0.35">
      <c r="A109">
        <f>VLOOKUP(B109,'[1]Dane municipios'!$B$199:$C$321,2,0)</f>
        <v>15804</v>
      </c>
      <c r="B109" t="s">
        <v>178</v>
      </c>
      <c r="C109">
        <v>2022</v>
      </c>
      <c r="D109">
        <v>68.95</v>
      </c>
    </row>
    <row r="110" spans="1:4" x14ac:dyDescent="0.35">
      <c r="A110">
        <f>VLOOKUP(B110,'[1]Dane municipios'!$B$199:$C$321,2,0)</f>
        <v>15806</v>
      </c>
      <c r="B110" t="s">
        <v>108</v>
      </c>
      <c r="C110">
        <v>2022</v>
      </c>
      <c r="D110">
        <v>65.52</v>
      </c>
    </row>
    <row r="111" spans="1:4" x14ac:dyDescent="0.35">
      <c r="A111">
        <f>VLOOKUP(B111,'[1]Dane municipios'!$B$199:$C$321,2,0)</f>
        <v>15808</v>
      </c>
      <c r="B111" t="s">
        <v>179</v>
      </c>
      <c r="C111">
        <v>2022</v>
      </c>
      <c r="D111">
        <v>69.56</v>
      </c>
    </row>
    <row r="112" spans="1:4" x14ac:dyDescent="0.35">
      <c r="A112">
        <f>VLOOKUP(B112,'[1]Dane municipios'!$B$199:$C$321,2,0)</f>
        <v>15810</v>
      </c>
      <c r="B112" t="s">
        <v>109</v>
      </c>
      <c r="C112">
        <v>2022</v>
      </c>
      <c r="D112">
        <v>65.680000000000007</v>
      </c>
    </row>
    <row r="113" spans="1:4" x14ac:dyDescent="0.35">
      <c r="A113">
        <f>VLOOKUP(B113,'[1]Dane municipios'!$B$199:$C$321,2,0)</f>
        <v>15814</v>
      </c>
      <c r="B113" t="s">
        <v>110</v>
      </c>
      <c r="C113">
        <v>2022</v>
      </c>
      <c r="D113">
        <v>76.52</v>
      </c>
    </row>
    <row r="114" spans="1:4" x14ac:dyDescent="0.35">
      <c r="A114">
        <f>VLOOKUP(B114,'[1]Dane municipios'!$B$199:$C$321,2,0)</f>
        <v>15816</v>
      </c>
      <c r="B114" t="s">
        <v>180</v>
      </c>
      <c r="C114">
        <v>2022</v>
      </c>
      <c r="D114">
        <v>64.540000000000006</v>
      </c>
    </row>
    <row r="115" spans="1:4" x14ac:dyDescent="0.35">
      <c r="A115">
        <f>VLOOKUP(B115,'[1]Dane municipios'!$B$199:$C$321,2,0)</f>
        <v>15820</v>
      </c>
      <c r="B115" t="s">
        <v>181</v>
      </c>
      <c r="C115">
        <v>2022</v>
      </c>
      <c r="D115">
        <v>67.459999999999994</v>
      </c>
    </row>
    <row r="116" spans="1:4" x14ac:dyDescent="0.35">
      <c r="A116">
        <f>VLOOKUP(B116,'[1]Dane municipios'!$B$199:$C$321,2,0)</f>
        <v>15822</v>
      </c>
      <c r="B116" t="s">
        <v>111</v>
      </c>
      <c r="C116">
        <v>2022</v>
      </c>
      <c r="D116">
        <v>72.95</v>
      </c>
    </row>
    <row r="117" spans="1:4" x14ac:dyDescent="0.35">
      <c r="A117">
        <f>VLOOKUP(B117,'[1]Dane municipios'!$B$199:$C$321,2,0)</f>
        <v>15832</v>
      </c>
      <c r="B117" t="s">
        <v>182</v>
      </c>
      <c r="C117">
        <v>2022</v>
      </c>
      <c r="D117">
        <v>62.5</v>
      </c>
    </row>
    <row r="118" spans="1:4" x14ac:dyDescent="0.35">
      <c r="A118">
        <f>VLOOKUP(B118,'[1]Dane municipios'!$B$199:$C$321,2,0)</f>
        <v>15835</v>
      </c>
      <c r="B118" t="s">
        <v>183</v>
      </c>
      <c r="C118">
        <v>2022</v>
      </c>
      <c r="D118">
        <v>70.87</v>
      </c>
    </row>
    <row r="119" spans="1:4" x14ac:dyDescent="0.35">
      <c r="A119">
        <f>VLOOKUP(B119,'[1]Dane municipios'!$B$199:$C$321,2,0)</f>
        <v>15837</v>
      </c>
      <c r="B119" t="s">
        <v>112</v>
      </c>
      <c r="C119">
        <v>2022</v>
      </c>
      <c r="D119">
        <v>74.989999999999995</v>
      </c>
    </row>
    <row r="120" spans="1:4" x14ac:dyDescent="0.35">
      <c r="A120">
        <f>VLOOKUP(B120,'[1]Dane municipios'!$B$199:$C$321,2,0)</f>
        <v>15839</v>
      </c>
      <c r="B120" t="s">
        <v>184</v>
      </c>
      <c r="C120">
        <v>2022</v>
      </c>
      <c r="D120">
        <v>61.51</v>
      </c>
    </row>
    <row r="121" spans="1:4" x14ac:dyDescent="0.35">
      <c r="A121">
        <f>VLOOKUP(B121,'[1]Dane municipios'!$B$199:$C$321,2,0)</f>
        <v>15842</v>
      </c>
      <c r="B121" t="s">
        <v>185</v>
      </c>
      <c r="C121">
        <v>2022</v>
      </c>
      <c r="D121">
        <v>69.349999999999994</v>
      </c>
    </row>
    <row r="122" spans="1:4" x14ac:dyDescent="0.35">
      <c r="A122">
        <f>VLOOKUP(B122,'[1]Dane municipios'!$B$199:$C$321,2,0)</f>
        <v>15861</v>
      </c>
      <c r="B122" t="s">
        <v>113</v>
      </c>
      <c r="C122">
        <v>2022</v>
      </c>
      <c r="D122">
        <v>67.099999999999994</v>
      </c>
    </row>
    <row r="123" spans="1:4" x14ac:dyDescent="0.35">
      <c r="A123">
        <f>VLOOKUP(B123,'[1]Dane municipios'!$B$199:$C$321,2,0)</f>
        <v>15879</v>
      </c>
      <c r="B123" t="s">
        <v>186</v>
      </c>
      <c r="C123">
        <v>2022</v>
      </c>
      <c r="D123">
        <v>59.76</v>
      </c>
    </row>
    <row r="124" spans="1:4" x14ac:dyDescent="0.35">
      <c r="A124">
        <f>VLOOKUP(B124,'[1]Dane municipios'!$B$199:$C$321,2,0)</f>
        <v>15897</v>
      </c>
      <c r="B124" t="s">
        <v>114</v>
      </c>
      <c r="C124">
        <v>2022</v>
      </c>
      <c r="D124">
        <v>66.97</v>
      </c>
    </row>
    <row r="125" spans="1:4" x14ac:dyDescent="0.35">
      <c r="A125">
        <f>VLOOKUP(B125,'[1]Dane municipios'!$B$199:$C$321,2,0)</f>
        <v>15001</v>
      </c>
      <c r="B125" t="s">
        <v>42</v>
      </c>
      <c r="C125">
        <v>2023</v>
      </c>
      <c r="D125">
        <v>75.03</v>
      </c>
    </row>
    <row r="126" spans="1:4" x14ac:dyDescent="0.35">
      <c r="A126">
        <f>VLOOKUP(B126,'[1]Dane municipios'!$B$199:$C$321,2,0)</f>
        <v>15022</v>
      </c>
      <c r="B126" t="s">
        <v>43</v>
      </c>
      <c r="C126">
        <v>2023</v>
      </c>
      <c r="D126">
        <v>60.13</v>
      </c>
    </row>
    <row r="127" spans="1:4" x14ac:dyDescent="0.35">
      <c r="A127">
        <f>VLOOKUP(B127,'[1]Dane municipios'!$B$199:$C$321,2,0)</f>
        <v>15047</v>
      </c>
      <c r="B127" t="s">
        <v>44</v>
      </c>
      <c r="C127">
        <v>2023</v>
      </c>
      <c r="D127">
        <v>64.47</v>
      </c>
    </row>
    <row r="128" spans="1:4" x14ac:dyDescent="0.35">
      <c r="A128">
        <f>VLOOKUP(B128,'[1]Dane municipios'!$B$199:$C$321,2,0)</f>
        <v>15051</v>
      </c>
      <c r="B128" t="s">
        <v>45</v>
      </c>
      <c r="C128">
        <v>2023</v>
      </c>
      <c r="D128">
        <v>70.48</v>
      </c>
    </row>
    <row r="129" spans="1:4" x14ac:dyDescent="0.35">
      <c r="A129">
        <f>VLOOKUP(B129,'[1]Dane municipios'!$B$199:$C$321,2,0)</f>
        <v>15087</v>
      </c>
      <c r="B129" t="s">
        <v>135</v>
      </c>
      <c r="C129">
        <v>2023</v>
      </c>
      <c r="D129">
        <v>71.5</v>
      </c>
    </row>
    <row r="130" spans="1:4" x14ac:dyDescent="0.35">
      <c r="A130">
        <f>VLOOKUP(B130,'[1]Dane municipios'!$B$199:$C$321,2,0)</f>
        <v>15090</v>
      </c>
      <c r="B130" t="s">
        <v>46</v>
      </c>
      <c r="C130">
        <v>2023</v>
      </c>
      <c r="D130">
        <v>70.09</v>
      </c>
    </row>
    <row r="131" spans="1:4" x14ac:dyDescent="0.35">
      <c r="A131">
        <f>VLOOKUP(B131,'[1]Dane municipios'!$B$199:$C$321,2,0)</f>
        <v>15092</v>
      </c>
      <c r="B131" t="s">
        <v>136</v>
      </c>
      <c r="C131">
        <v>2023</v>
      </c>
      <c r="D131">
        <v>64.510000000000005</v>
      </c>
    </row>
    <row r="132" spans="1:4" x14ac:dyDescent="0.35">
      <c r="A132">
        <f>VLOOKUP(B132,'[1]Dane municipios'!$B$199:$C$321,2,0)</f>
        <v>15097</v>
      </c>
      <c r="B132" t="s">
        <v>47</v>
      </c>
      <c r="C132">
        <v>2023</v>
      </c>
      <c r="D132">
        <v>76.22</v>
      </c>
    </row>
    <row r="133" spans="1:4" x14ac:dyDescent="0.35">
      <c r="A133">
        <f>VLOOKUP(B133,'[1]Dane municipios'!$B$199:$C$321,2,0)</f>
        <v>15104</v>
      </c>
      <c r="B133" t="s">
        <v>137</v>
      </c>
      <c r="C133">
        <v>2023</v>
      </c>
      <c r="D133">
        <v>64.819999999999993</v>
      </c>
    </row>
    <row r="134" spans="1:4" x14ac:dyDescent="0.35">
      <c r="A134">
        <f>VLOOKUP(B134,'[1]Dane municipios'!$B$199:$C$321,2,0)</f>
        <v>15106</v>
      </c>
      <c r="B134" t="s">
        <v>48</v>
      </c>
      <c r="C134">
        <v>2023</v>
      </c>
      <c r="D134">
        <v>67.849999999999994</v>
      </c>
    </row>
    <row r="135" spans="1:4" x14ac:dyDescent="0.35">
      <c r="A135">
        <f>VLOOKUP(B135,'[1]Dane municipios'!$B$199:$C$321,2,0)</f>
        <v>15109</v>
      </c>
      <c r="B135" t="s">
        <v>49</v>
      </c>
      <c r="C135">
        <v>2023</v>
      </c>
      <c r="D135">
        <v>60.25</v>
      </c>
    </row>
    <row r="136" spans="1:4" x14ac:dyDescent="0.35">
      <c r="A136">
        <f>VLOOKUP(B136,'[1]Dane municipios'!$B$199:$C$321,2,0)</f>
        <v>15114</v>
      </c>
      <c r="B136" t="s">
        <v>141</v>
      </c>
      <c r="C136">
        <v>2023</v>
      </c>
      <c r="D136">
        <v>68.83</v>
      </c>
    </row>
    <row r="137" spans="1:4" x14ac:dyDescent="0.35">
      <c r="A137">
        <f>VLOOKUP(B137,'[1]Dane municipios'!$B$199:$C$321,2,0)</f>
        <v>15131</v>
      </c>
      <c r="B137" t="s">
        <v>50</v>
      </c>
      <c r="C137">
        <v>2023</v>
      </c>
      <c r="D137">
        <v>61.97</v>
      </c>
    </row>
    <row r="138" spans="1:4" x14ac:dyDescent="0.35">
      <c r="A138">
        <f>VLOOKUP(B138,'[1]Dane municipios'!$B$199:$C$321,2,0)</f>
        <v>15135</v>
      </c>
      <c r="B138" t="s">
        <v>51</v>
      </c>
      <c r="C138">
        <v>2023</v>
      </c>
      <c r="D138">
        <v>64.61</v>
      </c>
    </row>
    <row r="139" spans="1:4" x14ac:dyDescent="0.35">
      <c r="A139">
        <f>VLOOKUP(B139,'[1]Dane municipios'!$B$199:$C$321,2,0)</f>
        <v>15162</v>
      </c>
      <c r="B139" t="s">
        <v>52</v>
      </c>
      <c r="C139">
        <v>2023</v>
      </c>
      <c r="D139">
        <v>74.48</v>
      </c>
    </row>
    <row r="140" spans="1:4" x14ac:dyDescent="0.35">
      <c r="A140">
        <f>VLOOKUP(B140,'[1]Dane municipios'!$B$199:$C$321,2,0)</f>
        <v>15172</v>
      </c>
      <c r="B140" t="s">
        <v>53</v>
      </c>
      <c r="C140">
        <v>2023</v>
      </c>
      <c r="D140">
        <v>68.08</v>
      </c>
    </row>
    <row r="141" spans="1:4" x14ac:dyDescent="0.35">
      <c r="A141">
        <f>VLOOKUP(B141,'[1]Dane municipios'!$B$199:$C$321,2,0)</f>
        <v>15176</v>
      </c>
      <c r="B141" t="s">
        <v>142</v>
      </c>
      <c r="C141">
        <v>2023</v>
      </c>
      <c r="D141">
        <v>75.19</v>
      </c>
    </row>
    <row r="142" spans="1:4" x14ac:dyDescent="0.35">
      <c r="A142">
        <f>VLOOKUP(B142,'[1]Dane municipios'!$B$199:$C$321,2,0)</f>
        <v>15180</v>
      </c>
      <c r="B142" t="s">
        <v>54</v>
      </c>
      <c r="C142">
        <v>2023</v>
      </c>
      <c r="D142">
        <v>66.760000000000005</v>
      </c>
    </row>
    <row r="143" spans="1:4" x14ac:dyDescent="0.35">
      <c r="A143">
        <f>VLOOKUP(B143,'[1]Dane municipios'!$B$199:$C$321,2,0)</f>
        <v>15183</v>
      </c>
      <c r="B143" t="s">
        <v>55</v>
      </c>
      <c r="C143">
        <v>2023</v>
      </c>
      <c r="D143">
        <v>72.23</v>
      </c>
    </row>
    <row r="144" spans="1:4" x14ac:dyDescent="0.35">
      <c r="A144">
        <f>VLOOKUP(B144,'[1]Dane municipios'!$B$199:$C$321,2,0)</f>
        <v>15185</v>
      </c>
      <c r="B144" t="s">
        <v>56</v>
      </c>
      <c r="C144">
        <v>2023</v>
      </c>
      <c r="D144">
        <v>64.12</v>
      </c>
    </row>
    <row r="145" spans="1:4" x14ac:dyDescent="0.35">
      <c r="A145">
        <f>VLOOKUP(B145,'[1]Dane municipios'!$B$199:$C$321,2,0)</f>
        <v>15187</v>
      </c>
      <c r="B145" t="s">
        <v>143</v>
      </c>
      <c r="C145">
        <v>2023</v>
      </c>
      <c r="D145">
        <v>71.86</v>
      </c>
    </row>
    <row r="146" spans="1:4" x14ac:dyDescent="0.35">
      <c r="A146">
        <f>VLOOKUP(B146,'[1]Dane municipios'!$B$199:$C$321,2,0)</f>
        <v>15189</v>
      </c>
      <c r="B146" t="s">
        <v>144</v>
      </c>
      <c r="C146">
        <v>2023</v>
      </c>
      <c r="D146">
        <v>73.569999999999993</v>
      </c>
    </row>
    <row r="147" spans="1:4" x14ac:dyDescent="0.35">
      <c r="A147">
        <f>VLOOKUP(B147,'[1]Dane municipios'!$B$199:$C$321,2,0)</f>
        <v>15204</v>
      </c>
      <c r="B147" t="s">
        <v>145</v>
      </c>
      <c r="C147">
        <v>2023</v>
      </c>
      <c r="D147">
        <v>67.5</v>
      </c>
    </row>
    <row r="148" spans="1:4" x14ac:dyDescent="0.35">
      <c r="A148">
        <f>VLOOKUP(B148,'[1]Dane municipios'!$B$199:$C$321,2,0)</f>
        <v>15212</v>
      </c>
      <c r="B148" t="s">
        <v>57</v>
      </c>
      <c r="C148">
        <v>2023</v>
      </c>
      <c r="D148">
        <v>63.18</v>
      </c>
    </row>
    <row r="149" spans="1:4" x14ac:dyDescent="0.35">
      <c r="A149">
        <f>VLOOKUP(B149,'[1]Dane municipios'!$B$199:$C$321,2,0)</f>
        <v>15215</v>
      </c>
      <c r="B149" t="s">
        <v>58</v>
      </c>
      <c r="C149">
        <v>2023</v>
      </c>
      <c r="D149">
        <v>74.16</v>
      </c>
    </row>
    <row r="150" spans="1:4" x14ac:dyDescent="0.35">
      <c r="A150">
        <f>VLOOKUP(B150,'[1]Dane municipios'!$B$199:$C$321,2,0)</f>
        <v>15218</v>
      </c>
      <c r="B150" t="s">
        <v>146</v>
      </c>
      <c r="C150">
        <v>2023</v>
      </c>
      <c r="D150">
        <v>69.81</v>
      </c>
    </row>
    <row r="151" spans="1:4" x14ac:dyDescent="0.35">
      <c r="A151">
        <f>VLOOKUP(B151,'[1]Dane municipios'!$B$199:$C$321,2,0)</f>
        <v>15223</v>
      </c>
      <c r="B151" t="s">
        <v>148</v>
      </c>
      <c r="C151">
        <v>2023</v>
      </c>
      <c r="D151">
        <v>65.959999999999994</v>
      </c>
    </row>
    <row r="152" spans="1:4" x14ac:dyDescent="0.35">
      <c r="A152">
        <f>VLOOKUP(B152,'[1]Dane municipios'!$B$199:$C$321,2,0)</f>
        <v>15224</v>
      </c>
      <c r="B152" t="s">
        <v>59</v>
      </c>
      <c r="C152">
        <v>2023</v>
      </c>
      <c r="D152">
        <v>69.31</v>
      </c>
    </row>
    <row r="153" spans="1:4" x14ac:dyDescent="0.35">
      <c r="A153">
        <f>VLOOKUP(B153,'[1]Dane municipios'!$B$199:$C$321,2,0)</f>
        <v>15226</v>
      </c>
      <c r="B153" t="s">
        <v>147</v>
      </c>
      <c r="C153">
        <v>2023</v>
      </c>
      <c r="D153">
        <v>64.59</v>
      </c>
    </row>
    <row r="154" spans="1:4" x14ac:dyDescent="0.35">
      <c r="A154">
        <f>VLOOKUP(B154,'[1]Dane municipios'!$B$199:$C$321,2,0)</f>
        <v>15232</v>
      </c>
      <c r="B154" t="s">
        <v>149</v>
      </c>
      <c r="C154">
        <v>2023</v>
      </c>
      <c r="D154">
        <v>69.98</v>
      </c>
    </row>
    <row r="155" spans="1:4" x14ac:dyDescent="0.35">
      <c r="A155">
        <f>VLOOKUP(B155,'[1]Dane municipios'!$B$199:$C$321,2,0)</f>
        <v>15236</v>
      </c>
      <c r="B155" t="s">
        <v>60</v>
      </c>
      <c r="C155">
        <v>2023</v>
      </c>
      <c r="D155">
        <v>63.87</v>
      </c>
    </row>
    <row r="156" spans="1:4" x14ac:dyDescent="0.35">
      <c r="A156">
        <f>VLOOKUP(B156,'[1]Dane municipios'!$B$199:$C$321,2,0)</f>
        <v>15238</v>
      </c>
      <c r="B156" t="s">
        <v>61</v>
      </c>
      <c r="C156">
        <v>2023</v>
      </c>
      <c r="D156">
        <v>78.36</v>
      </c>
    </row>
    <row r="157" spans="1:4" x14ac:dyDescent="0.35">
      <c r="A157">
        <f>VLOOKUP(B157,'[1]Dane municipios'!$B$199:$C$321,2,0)</f>
        <v>15244</v>
      </c>
      <c r="B157" t="s">
        <v>62</v>
      </c>
      <c r="C157">
        <v>2023</v>
      </c>
      <c r="D157">
        <v>71.540000000000006</v>
      </c>
    </row>
    <row r="158" spans="1:4" x14ac:dyDescent="0.35">
      <c r="A158">
        <f>VLOOKUP(B158,'[1]Dane municipios'!$B$199:$C$321,2,0)</f>
        <v>15248</v>
      </c>
      <c r="B158" t="s">
        <v>63</v>
      </c>
      <c r="C158">
        <v>2023</v>
      </c>
      <c r="D158">
        <v>67.73</v>
      </c>
    </row>
    <row r="159" spans="1:4" x14ac:dyDescent="0.35">
      <c r="A159">
        <f>VLOOKUP(B159,'[1]Dane municipios'!$B$199:$C$321,2,0)</f>
        <v>15272</v>
      </c>
      <c r="B159" t="s">
        <v>64</v>
      </c>
      <c r="C159">
        <v>2023</v>
      </c>
      <c r="D159">
        <v>68.790000000000006</v>
      </c>
    </row>
    <row r="160" spans="1:4" x14ac:dyDescent="0.35">
      <c r="A160">
        <f>VLOOKUP(B160,'[1]Dane municipios'!$B$199:$C$321,2,0)</f>
        <v>15276</v>
      </c>
      <c r="B160" t="s">
        <v>65</v>
      </c>
      <c r="C160">
        <v>2023</v>
      </c>
      <c r="D160">
        <v>77.010000000000005</v>
      </c>
    </row>
    <row r="161" spans="1:4" x14ac:dyDescent="0.35">
      <c r="A161">
        <f>VLOOKUP(B161,'[1]Dane municipios'!$B$199:$C$321,2,0)</f>
        <v>15293</v>
      </c>
      <c r="B161" t="s">
        <v>150</v>
      </c>
      <c r="C161">
        <v>2023</v>
      </c>
      <c r="D161">
        <v>65.599999999999994</v>
      </c>
    </row>
    <row r="162" spans="1:4" x14ac:dyDescent="0.35">
      <c r="A162">
        <f>VLOOKUP(B162,'[1]Dane municipios'!$B$199:$C$321,2,0)</f>
        <v>15296</v>
      </c>
      <c r="B162" t="s">
        <v>151</v>
      </c>
      <c r="C162">
        <v>2023</v>
      </c>
      <c r="D162">
        <v>65.36</v>
      </c>
    </row>
    <row r="163" spans="1:4" x14ac:dyDescent="0.35">
      <c r="A163">
        <f>VLOOKUP(B163,'[1]Dane municipios'!$B$199:$C$321,2,0)</f>
        <v>15299</v>
      </c>
      <c r="B163" t="s">
        <v>66</v>
      </c>
      <c r="C163">
        <v>2023</v>
      </c>
      <c r="D163">
        <v>68.599999999999994</v>
      </c>
    </row>
    <row r="164" spans="1:4" x14ac:dyDescent="0.35">
      <c r="A164">
        <f>VLOOKUP(B164,'[1]Dane municipios'!$B$199:$C$321,2,0)</f>
        <v>15317</v>
      </c>
      <c r="B164" t="s">
        <v>67</v>
      </c>
      <c r="C164">
        <v>2023</v>
      </c>
      <c r="D164">
        <v>66.75</v>
      </c>
    </row>
    <row r="165" spans="1:4" x14ac:dyDescent="0.35">
      <c r="A165">
        <f>VLOOKUP(B165,'[1]Dane municipios'!$B$199:$C$321,2,0)</f>
        <v>15322</v>
      </c>
      <c r="B165" t="s">
        <v>68</v>
      </c>
      <c r="C165">
        <v>2023</v>
      </c>
      <c r="D165">
        <v>73.25</v>
      </c>
    </row>
    <row r="166" spans="1:4" x14ac:dyDescent="0.35">
      <c r="A166">
        <f>VLOOKUP(B166,'[1]Dane municipios'!$B$199:$C$321,2,0)</f>
        <v>15325</v>
      </c>
      <c r="B166" t="s">
        <v>152</v>
      </c>
      <c r="C166">
        <v>2023</v>
      </c>
      <c r="D166">
        <v>57.73</v>
      </c>
    </row>
    <row r="167" spans="1:4" x14ac:dyDescent="0.35">
      <c r="A167">
        <f>VLOOKUP(B167,'[1]Dane municipios'!$B$199:$C$321,2,0)</f>
        <v>15332</v>
      </c>
      <c r="B167" t="s">
        <v>153</v>
      </c>
      <c r="C167">
        <v>2023</v>
      </c>
      <c r="D167">
        <v>64.37</v>
      </c>
    </row>
    <row r="168" spans="1:4" x14ac:dyDescent="0.35">
      <c r="A168">
        <f>VLOOKUP(B168,'[1]Dane municipios'!$B$199:$C$321,2,0)</f>
        <v>15362</v>
      </c>
      <c r="B168" t="s">
        <v>69</v>
      </c>
      <c r="C168">
        <v>2023</v>
      </c>
      <c r="D168">
        <v>59.43</v>
      </c>
    </row>
    <row r="169" spans="1:4" x14ac:dyDescent="0.35">
      <c r="A169">
        <f>VLOOKUP(B169,'[1]Dane municipios'!$B$199:$C$321,2,0)</f>
        <v>15367</v>
      </c>
      <c r="B169" t="s">
        <v>70</v>
      </c>
      <c r="C169">
        <v>2023</v>
      </c>
      <c r="D169">
        <v>71.06</v>
      </c>
    </row>
    <row r="170" spans="1:4" x14ac:dyDescent="0.35">
      <c r="A170">
        <f>VLOOKUP(B170,'[1]Dane municipios'!$B$199:$C$321,2,0)</f>
        <v>15368</v>
      </c>
      <c r="B170" t="s">
        <v>154</v>
      </c>
      <c r="C170">
        <v>2023</v>
      </c>
      <c r="D170">
        <v>69.510000000000005</v>
      </c>
    </row>
    <row r="171" spans="1:4" x14ac:dyDescent="0.35">
      <c r="A171">
        <f>VLOOKUP(B171,'[1]Dane municipios'!$B$199:$C$321,2,0)</f>
        <v>15377</v>
      </c>
      <c r="B171" t="s">
        <v>71</v>
      </c>
      <c r="C171">
        <v>2023</v>
      </c>
      <c r="D171">
        <v>67.06</v>
      </c>
    </row>
    <row r="172" spans="1:4" x14ac:dyDescent="0.35">
      <c r="A172">
        <f>VLOOKUP(B172,'[1]Dane municipios'!$B$199:$C$321,2,0)</f>
        <v>15380</v>
      </c>
      <c r="B172" t="s">
        <v>72</v>
      </c>
      <c r="C172">
        <v>2023</v>
      </c>
      <c r="D172">
        <v>71.36</v>
      </c>
    </row>
    <row r="173" spans="1:4" x14ac:dyDescent="0.35">
      <c r="A173">
        <f>VLOOKUP(B173,'[1]Dane municipios'!$B$199:$C$321,2,0)</f>
        <v>15401</v>
      </c>
      <c r="B173" t="s">
        <v>73</v>
      </c>
      <c r="C173">
        <v>2023</v>
      </c>
      <c r="D173">
        <v>62.21</v>
      </c>
    </row>
    <row r="174" spans="1:4" x14ac:dyDescent="0.35">
      <c r="A174">
        <f>VLOOKUP(B174,'[1]Dane municipios'!$B$199:$C$321,2,0)</f>
        <v>15403</v>
      </c>
      <c r="B174" t="s">
        <v>74</v>
      </c>
      <c r="C174">
        <v>2023</v>
      </c>
      <c r="D174">
        <v>62.85</v>
      </c>
    </row>
    <row r="175" spans="1:4" x14ac:dyDescent="0.35">
      <c r="A175">
        <f>VLOOKUP(B175,'[1]Dane municipios'!$B$199:$C$321,2,0)</f>
        <v>15407</v>
      </c>
      <c r="B175" t="s">
        <v>75</v>
      </c>
      <c r="C175">
        <v>2023</v>
      </c>
      <c r="D175">
        <v>74.27</v>
      </c>
    </row>
    <row r="176" spans="1:4" x14ac:dyDescent="0.35">
      <c r="A176">
        <f>VLOOKUP(B176,'[1]Dane municipios'!$B$199:$C$321,2,0)</f>
        <v>15425</v>
      </c>
      <c r="B176" t="s">
        <v>76</v>
      </c>
      <c r="C176">
        <v>2023</v>
      </c>
      <c r="D176">
        <v>65.680000000000007</v>
      </c>
    </row>
    <row r="177" spans="1:4" x14ac:dyDescent="0.35">
      <c r="A177">
        <f>VLOOKUP(B177,'[1]Dane municipios'!$B$199:$C$321,2,0)</f>
        <v>15442</v>
      </c>
      <c r="B177" t="s">
        <v>155</v>
      </c>
      <c r="C177">
        <v>2023</v>
      </c>
      <c r="D177">
        <v>63.35</v>
      </c>
    </row>
    <row r="178" spans="1:4" x14ac:dyDescent="0.35">
      <c r="A178">
        <f>VLOOKUP(B178,'[1]Dane municipios'!$B$199:$C$321,2,0)</f>
        <v>15455</v>
      </c>
      <c r="B178" t="s">
        <v>77</v>
      </c>
      <c r="C178">
        <v>2023</v>
      </c>
      <c r="D178">
        <v>73.569999999999993</v>
      </c>
    </row>
    <row r="179" spans="1:4" x14ac:dyDescent="0.35">
      <c r="A179">
        <f>VLOOKUP(B179,'[1]Dane municipios'!$B$199:$C$321,2,0)</f>
        <v>15464</v>
      </c>
      <c r="B179" t="s">
        <v>78</v>
      </c>
      <c r="C179">
        <v>2023</v>
      </c>
      <c r="D179">
        <v>66.91</v>
      </c>
    </row>
    <row r="180" spans="1:4" x14ac:dyDescent="0.35">
      <c r="A180">
        <f>VLOOKUP(B180,'[1]Dane municipios'!$B$199:$C$321,2,0)</f>
        <v>15466</v>
      </c>
      <c r="B180" t="s">
        <v>156</v>
      </c>
      <c r="C180">
        <v>2023</v>
      </c>
      <c r="D180">
        <v>67.69</v>
      </c>
    </row>
    <row r="181" spans="1:4" x14ac:dyDescent="0.35">
      <c r="A181">
        <f>VLOOKUP(B181,'[1]Dane municipios'!$B$199:$C$321,2,0)</f>
        <v>15469</v>
      </c>
      <c r="B181" t="s">
        <v>157</v>
      </c>
      <c r="C181">
        <v>2023</v>
      </c>
      <c r="D181">
        <v>71.13</v>
      </c>
    </row>
    <row r="182" spans="1:4" x14ac:dyDescent="0.35">
      <c r="A182">
        <f>VLOOKUP(B182,'[1]Dane municipios'!$B$199:$C$321,2,0)</f>
        <v>15476</v>
      </c>
      <c r="B182" t="s">
        <v>79</v>
      </c>
      <c r="C182">
        <v>2023</v>
      </c>
      <c r="D182">
        <v>61.95</v>
      </c>
    </row>
    <row r="183" spans="1:4" x14ac:dyDescent="0.35">
      <c r="A183">
        <f>VLOOKUP(B183,'[1]Dane municipios'!$B$199:$C$321,2,0)</f>
        <v>15480</v>
      </c>
      <c r="B183" t="s">
        <v>80</v>
      </c>
      <c r="C183">
        <v>2023</v>
      </c>
      <c r="D183">
        <v>75.930000000000007</v>
      </c>
    </row>
    <row r="184" spans="1:4" x14ac:dyDescent="0.35">
      <c r="A184">
        <f>VLOOKUP(B184,'[1]Dane municipios'!$B$199:$C$321,2,0)</f>
        <v>15491</v>
      </c>
      <c r="B184" t="s">
        <v>81</v>
      </c>
      <c r="C184">
        <v>2023</v>
      </c>
      <c r="D184">
        <v>73.39</v>
      </c>
    </row>
    <row r="185" spans="1:4" x14ac:dyDescent="0.35">
      <c r="A185">
        <f>VLOOKUP(B185,'[1]Dane municipios'!$B$199:$C$321,2,0)</f>
        <v>15494</v>
      </c>
      <c r="B185" t="s">
        <v>158</v>
      </c>
      <c r="C185">
        <v>2023</v>
      </c>
      <c r="D185">
        <v>73.31</v>
      </c>
    </row>
    <row r="186" spans="1:4" x14ac:dyDescent="0.35">
      <c r="A186">
        <f>VLOOKUP(B186,'[1]Dane municipios'!$B$199:$C$321,2,0)</f>
        <v>15500</v>
      </c>
      <c r="B186" t="s">
        <v>159</v>
      </c>
      <c r="C186">
        <v>2023</v>
      </c>
      <c r="D186">
        <v>67.930000000000007</v>
      </c>
    </row>
    <row r="187" spans="1:4" x14ac:dyDescent="0.35">
      <c r="A187">
        <f>VLOOKUP(B187,'[1]Dane municipios'!$B$199:$C$321,2,0)</f>
        <v>15507</v>
      </c>
      <c r="B187" t="s">
        <v>82</v>
      </c>
      <c r="C187">
        <v>2023</v>
      </c>
      <c r="D187">
        <v>67.33</v>
      </c>
    </row>
    <row r="188" spans="1:4" x14ac:dyDescent="0.35">
      <c r="A188">
        <f>VLOOKUP(B188,'[1]Dane municipios'!$B$199:$C$321,2,0)</f>
        <v>15511</v>
      </c>
      <c r="B188" t="s">
        <v>83</v>
      </c>
      <c r="C188">
        <v>2023</v>
      </c>
      <c r="D188">
        <v>54.99</v>
      </c>
    </row>
    <row r="189" spans="1:4" x14ac:dyDescent="0.35">
      <c r="A189">
        <f>VLOOKUP(B189,'[1]Dane municipios'!$B$199:$C$321,2,0)</f>
        <v>15514</v>
      </c>
      <c r="B189" t="s">
        <v>160</v>
      </c>
      <c r="C189">
        <v>2023</v>
      </c>
      <c r="D189">
        <v>67.73</v>
      </c>
    </row>
    <row r="190" spans="1:4" x14ac:dyDescent="0.35">
      <c r="A190">
        <f>VLOOKUP(B190,'[1]Dane municipios'!$B$199:$C$321,2,0)</f>
        <v>15516</v>
      </c>
      <c r="B190" t="s">
        <v>84</v>
      </c>
      <c r="C190">
        <v>2023</v>
      </c>
      <c r="D190">
        <v>72.62</v>
      </c>
    </row>
    <row r="191" spans="1:4" x14ac:dyDescent="0.35">
      <c r="A191">
        <f>VLOOKUP(B191,'[1]Dane municipios'!$B$199:$C$321,2,0)</f>
        <v>15518</v>
      </c>
      <c r="B191" t="s">
        <v>85</v>
      </c>
      <c r="C191">
        <v>2023</v>
      </c>
      <c r="D191">
        <v>67.400000000000006</v>
      </c>
    </row>
    <row r="192" spans="1:4" x14ac:dyDescent="0.35">
      <c r="A192">
        <f>VLOOKUP(B192,'[1]Dane municipios'!$B$199:$C$321,2,0)</f>
        <v>15522</v>
      </c>
      <c r="B192" t="s">
        <v>86</v>
      </c>
      <c r="C192">
        <v>2023</v>
      </c>
      <c r="D192">
        <v>69.680000000000007</v>
      </c>
    </row>
    <row r="193" spans="1:4" x14ac:dyDescent="0.35">
      <c r="A193">
        <f>VLOOKUP(B193,'[1]Dane municipios'!$B$199:$C$321,2,0)</f>
        <v>15531</v>
      </c>
      <c r="B193" t="s">
        <v>87</v>
      </c>
      <c r="C193">
        <v>2023</v>
      </c>
      <c r="D193">
        <v>69.66</v>
      </c>
    </row>
    <row r="194" spans="1:4" x14ac:dyDescent="0.35">
      <c r="A194">
        <f>VLOOKUP(B194,'[1]Dane municipios'!$B$199:$C$321,2,0)</f>
        <v>15533</v>
      </c>
      <c r="B194" t="s">
        <v>88</v>
      </c>
      <c r="C194">
        <v>2023</v>
      </c>
      <c r="D194">
        <v>60.43</v>
      </c>
    </row>
    <row r="195" spans="1:4" x14ac:dyDescent="0.35">
      <c r="A195">
        <f>VLOOKUP(B195,'[1]Dane municipios'!$B$199:$C$321,2,0)</f>
        <v>15537</v>
      </c>
      <c r="B195" t="s">
        <v>161</v>
      </c>
      <c r="C195">
        <v>2023</v>
      </c>
      <c r="D195">
        <v>70.010000000000005</v>
      </c>
    </row>
    <row r="196" spans="1:4" x14ac:dyDescent="0.35">
      <c r="A196">
        <f>VLOOKUP(B196,'[1]Dane municipios'!$B$199:$C$321,2,0)</f>
        <v>15542</v>
      </c>
      <c r="B196" t="s">
        <v>89</v>
      </c>
      <c r="C196">
        <v>2023</v>
      </c>
      <c r="D196">
        <v>66.239999999999995</v>
      </c>
    </row>
    <row r="197" spans="1:4" x14ac:dyDescent="0.35">
      <c r="A197">
        <f>VLOOKUP(B197,'[1]Dane municipios'!$B$199:$C$321,2,0)</f>
        <v>15550</v>
      </c>
      <c r="B197" t="s">
        <v>90</v>
      </c>
      <c r="C197">
        <v>2023</v>
      </c>
      <c r="D197">
        <v>62.59</v>
      </c>
    </row>
    <row r="198" spans="1:4" x14ac:dyDescent="0.35">
      <c r="A198">
        <f>VLOOKUP(B198,'[1]Dane municipios'!$B$199:$C$321,2,0)</f>
        <v>15572</v>
      </c>
      <c r="B198" t="s">
        <v>138</v>
      </c>
      <c r="C198">
        <v>2023</v>
      </c>
      <c r="D198">
        <v>74.709999999999994</v>
      </c>
    </row>
    <row r="199" spans="1:4" x14ac:dyDescent="0.35">
      <c r="A199">
        <f>VLOOKUP(B199,'[1]Dane municipios'!$B$199:$C$321,2,0)</f>
        <v>15580</v>
      </c>
      <c r="B199" t="s">
        <v>162</v>
      </c>
      <c r="C199">
        <v>2023</v>
      </c>
      <c r="D199">
        <v>68.569999999999993</v>
      </c>
    </row>
    <row r="200" spans="1:4" x14ac:dyDescent="0.35">
      <c r="A200">
        <f>VLOOKUP(B200,'[1]Dane municipios'!$B$199:$C$321,2,0)</f>
        <v>15599</v>
      </c>
      <c r="B200" t="s">
        <v>163</v>
      </c>
      <c r="C200">
        <v>2023</v>
      </c>
      <c r="D200">
        <v>67.95</v>
      </c>
    </row>
    <row r="201" spans="1:4" x14ac:dyDescent="0.35">
      <c r="A201">
        <f>VLOOKUP(B201,'[1]Dane municipios'!$B$199:$C$321,2,0)</f>
        <v>15600</v>
      </c>
      <c r="B201" t="s">
        <v>164</v>
      </c>
      <c r="C201">
        <v>2023</v>
      </c>
      <c r="D201">
        <v>64.209999999999994</v>
      </c>
    </row>
    <row r="202" spans="1:4" x14ac:dyDescent="0.35">
      <c r="A202">
        <f>VLOOKUP(B202,'[1]Dane municipios'!$B$199:$C$321,2,0)</f>
        <v>15621</v>
      </c>
      <c r="B202" t="s">
        <v>165</v>
      </c>
      <c r="C202">
        <v>2023</v>
      </c>
      <c r="D202">
        <v>62.59</v>
      </c>
    </row>
    <row r="203" spans="1:4" x14ac:dyDescent="0.35">
      <c r="A203">
        <f>VLOOKUP(B203,'[1]Dane municipios'!$B$199:$C$321,2,0)</f>
        <v>15632</v>
      </c>
      <c r="B203" t="s">
        <v>166</v>
      </c>
      <c r="C203">
        <v>2023</v>
      </c>
      <c r="D203">
        <v>73.849999999999994</v>
      </c>
    </row>
    <row r="204" spans="1:4" x14ac:dyDescent="0.35">
      <c r="A204">
        <f>VLOOKUP(B204,'[1]Dane municipios'!$B$199:$C$321,2,0)</f>
        <v>15638</v>
      </c>
      <c r="B204" t="s">
        <v>167</v>
      </c>
      <c r="C204">
        <v>2023</v>
      </c>
      <c r="D204">
        <v>71.72</v>
      </c>
    </row>
    <row r="205" spans="1:4" x14ac:dyDescent="0.35">
      <c r="A205">
        <f>VLOOKUP(B205,'[1]Dane municipios'!$B$199:$C$321,2,0)</f>
        <v>15646</v>
      </c>
      <c r="B205" t="s">
        <v>168</v>
      </c>
      <c r="C205">
        <v>2023</v>
      </c>
      <c r="D205">
        <v>74.39</v>
      </c>
    </row>
    <row r="206" spans="1:4" x14ac:dyDescent="0.35">
      <c r="A206">
        <f>VLOOKUP(B206,'[1]Dane municipios'!$B$199:$C$321,2,0)</f>
        <v>15660</v>
      </c>
      <c r="B206" t="s">
        <v>91</v>
      </c>
      <c r="C206">
        <v>2023</v>
      </c>
      <c r="D206">
        <v>71.599999999999994</v>
      </c>
    </row>
    <row r="207" spans="1:4" x14ac:dyDescent="0.35">
      <c r="A207">
        <f>VLOOKUP(B207,'[1]Dane municipios'!$B$199:$C$321,2,0)</f>
        <v>15664</v>
      </c>
      <c r="B207" t="s">
        <v>169</v>
      </c>
      <c r="C207">
        <v>2023</v>
      </c>
      <c r="D207">
        <v>70.290000000000006</v>
      </c>
    </row>
    <row r="208" spans="1:4" x14ac:dyDescent="0.35">
      <c r="A208">
        <f>VLOOKUP(B208,'[1]Dane municipios'!$B$199:$C$321,2,0)</f>
        <v>15667</v>
      </c>
      <c r="B208" t="s">
        <v>92</v>
      </c>
      <c r="C208">
        <v>2023</v>
      </c>
      <c r="D208">
        <v>66.650000000000006</v>
      </c>
    </row>
    <row r="209" spans="1:4" x14ac:dyDescent="0.35">
      <c r="A209">
        <f>VLOOKUP(B209,'[1]Dane municipios'!$B$199:$C$321,2,0)</f>
        <v>15673</v>
      </c>
      <c r="B209" t="s">
        <v>93</v>
      </c>
      <c r="C209">
        <v>2023</v>
      </c>
      <c r="D209">
        <v>76.66</v>
      </c>
    </row>
    <row r="210" spans="1:4" x14ac:dyDescent="0.35">
      <c r="A210">
        <f>VLOOKUP(B210,'[1]Dane municipios'!$B$199:$C$321,2,0)</f>
        <v>15676</v>
      </c>
      <c r="B210" t="s">
        <v>94</v>
      </c>
      <c r="C210">
        <v>2023</v>
      </c>
      <c r="D210">
        <v>79.73</v>
      </c>
    </row>
    <row r="211" spans="1:4" x14ac:dyDescent="0.35">
      <c r="A211">
        <f>VLOOKUP(B211,'[1]Dane municipios'!$B$199:$C$321,2,0)</f>
        <v>15681</v>
      </c>
      <c r="B211" t="s">
        <v>95</v>
      </c>
      <c r="C211">
        <v>2023</v>
      </c>
      <c r="D211">
        <v>67.37</v>
      </c>
    </row>
    <row r="212" spans="1:4" x14ac:dyDescent="0.35">
      <c r="A212">
        <f>VLOOKUP(B212,'[1]Dane municipios'!$B$199:$C$321,2,0)</f>
        <v>15686</v>
      </c>
      <c r="B212" t="s">
        <v>96</v>
      </c>
      <c r="C212">
        <v>2023</v>
      </c>
      <c r="D212">
        <v>71.150000000000006</v>
      </c>
    </row>
    <row r="213" spans="1:4" x14ac:dyDescent="0.35">
      <c r="A213">
        <f>VLOOKUP(B213,'[1]Dane municipios'!$B$199:$C$321,2,0)</f>
        <v>15690</v>
      </c>
      <c r="B213" t="s">
        <v>170</v>
      </c>
      <c r="C213">
        <v>2023</v>
      </c>
      <c r="D213">
        <v>75.77</v>
      </c>
    </row>
    <row r="214" spans="1:4" x14ac:dyDescent="0.35">
      <c r="A214">
        <f>VLOOKUP(B214,'[1]Dane municipios'!$B$199:$C$321,2,0)</f>
        <v>15693</v>
      </c>
      <c r="B214" t="s">
        <v>97</v>
      </c>
      <c r="C214">
        <v>2023</v>
      </c>
      <c r="D214">
        <v>70.14</v>
      </c>
    </row>
    <row r="215" spans="1:4" x14ac:dyDescent="0.35">
      <c r="A215">
        <f>VLOOKUP(B215,'[1]Dane municipios'!$B$199:$C$321,2,0)</f>
        <v>15696</v>
      </c>
      <c r="B215" t="s">
        <v>171</v>
      </c>
      <c r="C215">
        <v>2023</v>
      </c>
      <c r="D215">
        <v>68.34</v>
      </c>
    </row>
    <row r="216" spans="1:4" x14ac:dyDescent="0.35">
      <c r="A216">
        <f>VLOOKUP(B216,'[1]Dane municipios'!$B$199:$C$321,2,0)</f>
        <v>15720</v>
      </c>
      <c r="B216" t="s">
        <v>98</v>
      </c>
      <c r="C216">
        <v>2023</v>
      </c>
      <c r="D216">
        <v>68.34</v>
      </c>
    </row>
    <row r="217" spans="1:4" x14ac:dyDescent="0.35">
      <c r="A217">
        <f>VLOOKUP(B217,'[1]Dane municipios'!$B$199:$C$321,2,0)</f>
        <v>15723</v>
      </c>
      <c r="B217" t="s">
        <v>99</v>
      </c>
      <c r="C217">
        <v>2023</v>
      </c>
      <c r="D217">
        <v>75.59</v>
      </c>
    </row>
    <row r="218" spans="1:4" x14ac:dyDescent="0.35">
      <c r="A218">
        <f>VLOOKUP(B218,'[1]Dane municipios'!$B$199:$C$321,2,0)</f>
        <v>15740</v>
      </c>
      <c r="B218" t="s">
        <v>100</v>
      </c>
      <c r="C218">
        <v>2023</v>
      </c>
      <c r="D218">
        <v>73.69</v>
      </c>
    </row>
    <row r="219" spans="1:4" x14ac:dyDescent="0.35">
      <c r="A219">
        <f>VLOOKUP(B219,'[1]Dane municipios'!$B$199:$C$321,2,0)</f>
        <v>15753</v>
      </c>
      <c r="B219" t="s">
        <v>172</v>
      </c>
      <c r="C219">
        <v>2023</v>
      </c>
      <c r="D219">
        <v>74.39</v>
      </c>
    </row>
    <row r="220" spans="1:4" x14ac:dyDescent="0.35">
      <c r="A220">
        <f>VLOOKUP(B220,'[1]Dane municipios'!$B$199:$C$321,2,0)</f>
        <v>15755</v>
      </c>
      <c r="B220" t="s">
        <v>173</v>
      </c>
      <c r="C220">
        <v>2023</v>
      </c>
      <c r="D220">
        <v>71.42</v>
      </c>
    </row>
    <row r="221" spans="1:4" x14ac:dyDescent="0.35">
      <c r="A221">
        <f>VLOOKUP(B221,'[1]Dane municipios'!$B$199:$C$321,2,0)</f>
        <v>15757</v>
      </c>
      <c r="B221" t="s">
        <v>101</v>
      </c>
      <c r="C221">
        <v>2023</v>
      </c>
      <c r="D221">
        <v>75.11</v>
      </c>
    </row>
    <row r="222" spans="1:4" x14ac:dyDescent="0.35">
      <c r="A222">
        <f>VLOOKUP(B222,'[1]Dane municipios'!$B$199:$C$321,2,0)</f>
        <v>15759</v>
      </c>
      <c r="B222" t="s">
        <v>102</v>
      </c>
      <c r="C222">
        <v>2023</v>
      </c>
      <c r="D222">
        <v>78.739999999999995</v>
      </c>
    </row>
    <row r="223" spans="1:4" x14ac:dyDescent="0.35">
      <c r="A223">
        <f>VLOOKUP(B223,'[1]Dane municipios'!$B$199:$C$321,2,0)</f>
        <v>15761</v>
      </c>
      <c r="B223" t="s">
        <v>103</v>
      </c>
      <c r="C223">
        <v>2023</v>
      </c>
      <c r="D223">
        <v>75.03</v>
      </c>
    </row>
    <row r="224" spans="1:4" x14ac:dyDescent="0.35">
      <c r="A224">
        <f>VLOOKUP(B224,'[1]Dane municipios'!$B$199:$C$321,2,0)</f>
        <v>15762</v>
      </c>
      <c r="B224" t="s">
        <v>104</v>
      </c>
      <c r="C224">
        <v>2023</v>
      </c>
      <c r="D224">
        <v>70.099999999999994</v>
      </c>
    </row>
    <row r="225" spans="1:4" x14ac:dyDescent="0.35">
      <c r="A225">
        <f>VLOOKUP(B225,'[1]Dane municipios'!$B$199:$C$321,2,0)</f>
        <v>15763</v>
      </c>
      <c r="B225" t="s">
        <v>174</v>
      </c>
      <c r="C225">
        <v>2023</v>
      </c>
      <c r="D225">
        <v>66.72</v>
      </c>
    </row>
    <row r="226" spans="1:4" x14ac:dyDescent="0.35">
      <c r="A226">
        <f>VLOOKUP(B226,'[1]Dane municipios'!$B$199:$C$321,2,0)</f>
        <v>15764</v>
      </c>
      <c r="B226" t="s">
        <v>175</v>
      </c>
      <c r="C226">
        <v>2023</v>
      </c>
      <c r="D226">
        <v>72.89</v>
      </c>
    </row>
    <row r="227" spans="1:4" x14ac:dyDescent="0.35">
      <c r="A227">
        <f>VLOOKUP(B227,'[1]Dane municipios'!$B$199:$C$321,2,0)</f>
        <v>15774</v>
      </c>
      <c r="B227" t="s">
        <v>176</v>
      </c>
      <c r="C227">
        <v>2023</v>
      </c>
      <c r="D227">
        <v>71.37</v>
      </c>
    </row>
    <row r="228" spans="1:4" x14ac:dyDescent="0.35">
      <c r="A228">
        <f>VLOOKUP(B228,'[1]Dane municipios'!$B$199:$C$321,2,0)</f>
        <v>15776</v>
      </c>
      <c r="B228" t="s">
        <v>177</v>
      </c>
      <c r="C228">
        <v>2023</v>
      </c>
      <c r="D228">
        <v>70.709999999999994</v>
      </c>
    </row>
    <row r="229" spans="1:4" x14ac:dyDescent="0.35">
      <c r="A229">
        <f>VLOOKUP(B229,'[1]Dane municipios'!$B$199:$C$321,2,0)</f>
        <v>15778</v>
      </c>
      <c r="B229" t="s">
        <v>105</v>
      </c>
      <c r="C229">
        <v>2023</v>
      </c>
      <c r="D229">
        <v>67.8</v>
      </c>
    </row>
    <row r="230" spans="1:4" x14ac:dyDescent="0.35">
      <c r="A230">
        <f>VLOOKUP(B230,'[1]Dane municipios'!$B$199:$C$321,2,0)</f>
        <v>15790</v>
      </c>
      <c r="B230" t="s">
        <v>106</v>
      </c>
      <c r="C230">
        <v>2023</v>
      </c>
      <c r="D230">
        <v>70.319999999999993</v>
      </c>
    </row>
    <row r="231" spans="1:4" x14ac:dyDescent="0.35">
      <c r="A231">
        <f>VLOOKUP(B231,'[1]Dane municipios'!$B$199:$C$321,2,0)</f>
        <v>15798</v>
      </c>
      <c r="B231" t="s">
        <v>107</v>
      </c>
      <c r="C231">
        <v>2023</v>
      </c>
      <c r="D231">
        <v>67.5</v>
      </c>
    </row>
    <row r="232" spans="1:4" x14ac:dyDescent="0.35">
      <c r="A232">
        <f>VLOOKUP(B232,'[1]Dane municipios'!$B$199:$C$321,2,0)</f>
        <v>15804</v>
      </c>
      <c r="B232" t="s">
        <v>178</v>
      </c>
      <c r="C232">
        <v>2023</v>
      </c>
      <c r="D232">
        <v>65.58</v>
      </c>
    </row>
    <row r="233" spans="1:4" x14ac:dyDescent="0.35">
      <c r="A233">
        <f>VLOOKUP(B233,'[1]Dane municipios'!$B$199:$C$321,2,0)</f>
        <v>15806</v>
      </c>
      <c r="B233" t="s">
        <v>108</v>
      </c>
      <c r="C233">
        <v>2023</v>
      </c>
      <c r="D233">
        <v>69.209999999999994</v>
      </c>
    </row>
    <row r="234" spans="1:4" x14ac:dyDescent="0.35">
      <c r="A234">
        <f>VLOOKUP(B234,'[1]Dane municipios'!$B$199:$C$321,2,0)</f>
        <v>15808</v>
      </c>
      <c r="B234" t="s">
        <v>179</v>
      </c>
      <c r="C234">
        <v>2023</v>
      </c>
      <c r="D234">
        <v>66.040000000000006</v>
      </c>
    </row>
    <row r="235" spans="1:4" x14ac:dyDescent="0.35">
      <c r="A235">
        <f>VLOOKUP(B235,'[1]Dane municipios'!$B$199:$C$321,2,0)</f>
        <v>15810</v>
      </c>
      <c r="B235" t="s">
        <v>109</v>
      </c>
      <c r="C235">
        <v>2023</v>
      </c>
      <c r="D235">
        <v>67.13</v>
      </c>
    </row>
    <row r="236" spans="1:4" x14ac:dyDescent="0.35">
      <c r="A236">
        <f>VLOOKUP(B236,'[1]Dane municipios'!$B$199:$C$321,2,0)</f>
        <v>15814</v>
      </c>
      <c r="B236" t="s">
        <v>110</v>
      </c>
      <c r="C236">
        <v>2023</v>
      </c>
      <c r="D236">
        <v>77.83</v>
      </c>
    </row>
    <row r="237" spans="1:4" x14ac:dyDescent="0.35">
      <c r="A237">
        <f>VLOOKUP(B237,'[1]Dane municipios'!$B$199:$C$321,2,0)</f>
        <v>15816</v>
      </c>
      <c r="B237" t="s">
        <v>180</v>
      </c>
      <c r="C237">
        <v>2023</v>
      </c>
      <c r="D237">
        <v>71.010000000000005</v>
      </c>
    </row>
    <row r="238" spans="1:4" x14ac:dyDescent="0.35">
      <c r="A238">
        <f>VLOOKUP(B238,'[1]Dane municipios'!$B$199:$C$321,2,0)</f>
        <v>15820</v>
      </c>
      <c r="B238" t="s">
        <v>181</v>
      </c>
      <c r="C238">
        <v>2023</v>
      </c>
      <c r="D238">
        <v>66.03</v>
      </c>
    </row>
    <row r="239" spans="1:4" x14ac:dyDescent="0.35">
      <c r="A239">
        <f>VLOOKUP(B239,'[1]Dane municipios'!$B$199:$C$321,2,0)</f>
        <v>15822</v>
      </c>
      <c r="B239" t="s">
        <v>111</v>
      </c>
      <c r="C239">
        <v>2023</v>
      </c>
      <c r="D239">
        <v>70.7</v>
      </c>
    </row>
    <row r="240" spans="1:4" x14ac:dyDescent="0.35">
      <c r="A240">
        <f>VLOOKUP(B240,'[1]Dane municipios'!$B$199:$C$321,2,0)</f>
        <v>15832</v>
      </c>
      <c r="B240" t="s">
        <v>182</v>
      </c>
      <c r="C240">
        <v>2023</v>
      </c>
      <c r="D240">
        <v>67.58</v>
      </c>
    </row>
    <row r="241" spans="1:4" x14ac:dyDescent="0.35">
      <c r="A241">
        <f>VLOOKUP(B241,'[1]Dane municipios'!$B$199:$C$321,2,0)</f>
        <v>15835</v>
      </c>
      <c r="B241" t="s">
        <v>183</v>
      </c>
      <c r="C241">
        <v>2023</v>
      </c>
      <c r="D241">
        <v>71.58</v>
      </c>
    </row>
    <row r="242" spans="1:4" x14ac:dyDescent="0.35">
      <c r="A242">
        <f>VLOOKUP(B242,'[1]Dane municipios'!$B$199:$C$321,2,0)</f>
        <v>15837</v>
      </c>
      <c r="B242" t="s">
        <v>112</v>
      </c>
      <c r="C242">
        <v>2023</v>
      </c>
      <c r="D242">
        <v>73.14</v>
      </c>
    </row>
    <row r="243" spans="1:4" x14ac:dyDescent="0.35">
      <c r="A243">
        <f>VLOOKUP(B243,'[1]Dane municipios'!$B$199:$C$321,2,0)</f>
        <v>15839</v>
      </c>
      <c r="B243" t="s">
        <v>184</v>
      </c>
      <c r="C243">
        <v>2023</v>
      </c>
      <c r="D243">
        <v>70.7</v>
      </c>
    </row>
    <row r="244" spans="1:4" x14ac:dyDescent="0.35">
      <c r="A244">
        <f>VLOOKUP(B244,'[1]Dane municipios'!$B$199:$C$321,2,0)</f>
        <v>15842</v>
      </c>
      <c r="B244" t="s">
        <v>185</v>
      </c>
      <c r="C244">
        <v>2023</v>
      </c>
      <c r="D244">
        <v>71.95</v>
      </c>
    </row>
    <row r="245" spans="1:4" x14ac:dyDescent="0.35">
      <c r="A245">
        <f>VLOOKUP(B245,'[1]Dane municipios'!$B$199:$C$321,2,0)</f>
        <v>15861</v>
      </c>
      <c r="B245" t="s">
        <v>113</v>
      </c>
      <c r="C245">
        <v>2023</v>
      </c>
      <c r="D245">
        <v>70.87</v>
      </c>
    </row>
    <row r="246" spans="1:4" x14ac:dyDescent="0.35">
      <c r="A246">
        <f>VLOOKUP(B246,'[1]Dane municipios'!$B$199:$C$321,2,0)</f>
        <v>15879</v>
      </c>
      <c r="B246" t="s">
        <v>186</v>
      </c>
      <c r="C246">
        <v>2023</v>
      </c>
      <c r="D246">
        <v>63.57</v>
      </c>
    </row>
    <row r="247" spans="1:4" x14ac:dyDescent="0.35">
      <c r="A247">
        <f>VLOOKUP(B247,'[1]Dane municipios'!$B$199:$C$321,2,0)</f>
        <v>15897</v>
      </c>
      <c r="B247" t="s">
        <v>114</v>
      </c>
      <c r="C247">
        <v>2023</v>
      </c>
      <c r="D247">
        <v>72.62</v>
      </c>
    </row>
    <row r="249" spans="1:4" x14ac:dyDescent="0.35">
      <c r="A249" t="s">
        <v>17</v>
      </c>
      <c r="B249" t="s">
        <v>35</v>
      </c>
    </row>
    <row r="250" spans="1:4" x14ac:dyDescent="0.35">
      <c r="A250" s="1" t="s">
        <v>2</v>
      </c>
      <c r="B250" t="s">
        <v>139</v>
      </c>
    </row>
    <row r="251" spans="1:4" x14ac:dyDescent="0.35">
      <c r="A251" s="1" t="s">
        <v>11</v>
      </c>
      <c r="B251" t="s">
        <v>140</v>
      </c>
    </row>
    <row r="252" spans="1:4" x14ac:dyDescent="0.35">
      <c r="A252" s="1" t="s">
        <v>13</v>
      </c>
      <c r="B252" t="s">
        <v>36</v>
      </c>
    </row>
    <row r="253" spans="1:4" x14ac:dyDescent="0.35">
      <c r="A253" s="1" t="s">
        <v>15</v>
      </c>
      <c r="B25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data0</vt:lpstr>
      <vt:lpstr>data1</vt:lpstr>
      <vt:lpstr>data2</vt:lpstr>
      <vt:lpstr>data3</vt:lpstr>
      <vt:lpstr>data4</vt:lpstr>
      <vt:lpstr>data5</vt:lpstr>
      <vt:lpstr>data6</vt:lpstr>
      <vt:lpstr>data7</vt:lpstr>
      <vt:lpstr>data8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2015-06-05T18:19:34Z</dcterms:created>
  <dcterms:modified xsi:type="dcterms:W3CDTF">2025-11-21T02:24:13Z</dcterms:modified>
</cp:coreProperties>
</file>