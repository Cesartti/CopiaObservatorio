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FICHAS TÉCNICAS Y DATALIKE\DATALIKE\CALIDAD DE VIDA CAMPESINA\"/>
    </mc:Choice>
  </mc:AlternateContent>
  <xr:revisionPtr revIDLastSave="0" documentId="13_ncr:1_{FA1744FC-F74B-4BDB-9053-326A8D393F5E}" xr6:coauthVersionLast="47" xr6:coauthVersionMax="47" xr10:uidLastSave="{00000000-0000-0000-0000-000000000000}"/>
  <bookViews>
    <workbookView xWindow="-110" yWindow="-110" windowWidth="19420" windowHeight="10300" activeTab="7" xr2:uid="{0CC0CB43-1FE3-41B1-9BBB-EC74FA33DDA3}"/>
  </bookViews>
  <sheets>
    <sheet name="Data0" sheetId="1" r:id="rId1"/>
    <sheet name="Data1" sheetId="2" r:id="rId2"/>
    <sheet name="Data2" sheetId="22" r:id="rId3"/>
    <sheet name="Data3" sheetId="23" r:id="rId4"/>
    <sheet name="Data4" sheetId="24" r:id="rId5"/>
    <sheet name="Data5" sheetId="25" r:id="rId6"/>
    <sheet name="Data6" sheetId="27" r:id="rId7"/>
    <sheet name="Data7" sheetId="2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<sst xmlns="http://schemas.openxmlformats.org/spreadsheetml/2006/main" count="121" uniqueCount="41">
  <si>
    <t>Categoría:</t>
  </si>
  <si>
    <t>Descripción:</t>
  </si>
  <si>
    <t>Título:</t>
  </si>
  <si>
    <t>SubcategoríaEtiquetas:</t>
  </si>
  <si>
    <t>Fuentes:</t>
  </si>
  <si>
    <t>Boyacá</t>
  </si>
  <si>
    <t>Cundinamarca</t>
  </si>
  <si>
    <t>Norte de Santander</t>
  </si>
  <si>
    <t>Santander</t>
  </si>
  <si>
    <t>Vertical:</t>
  </si>
  <si>
    <t>Departamento</t>
  </si>
  <si>
    <t>Horizontal:</t>
  </si>
  <si>
    <t>Años</t>
  </si>
  <si>
    <t>https://www.dane.gov.co/index.php/estadisticas-por-tema/pobreza-y-condiciones-de-vida/</t>
  </si>
  <si>
    <t>Total nacional</t>
  </si>
  <si>
    <t>Tipo:</t>
  </si>
  <si>
    <t>Grafico de columnas</t>
  </si>
  <si>
    <t>Calidad de vida campesina</t>
  </si>
  <si>
    <t>Este indicador presenta el porcentaje de hogares campesinos que tienen acceso a servicios públicos, privados o comunales (energía eléctrica, gas natural, acueducto, alcantarillado, recolección de basuras, teléfono fijo) así como el porcentaje de hogares que no cuentan con ningún servicio. La información corresponde al período 2019–2023 y permite evaluar las brechas de infraestructura básica en la región centro oriente, mostrando la proporción de hogares rurales que acceden a servicios esenciales para su bienestar.</t>
  </si>
  <si>
    <t>Porcentaje de hogares campesinos por acceso a servicios públicos, privados o comunales</t>
  </si>
  <si>
    <t>Porcentaje de hogares campesinos con acceso a energía eléctrica, 2019–2023</t>
  </si>
  <si>
    <t>Porcentaje de hogares con energía eléctrica (%)</t>
  </si>
  <si>
    <t>Porcentaje de hogares campesinos con acceso a gas natural, 2019–2023</t>
  </si>
  <si>
    <t>Presenta el porcentaje de hogares campesinos con acceso a energía eléctrica entre 2019 y 2023, según los datos del DANE. El indicador permite identificar la magnitud y estabilidad del acceso a electricidad como servicio esencial para la calidad de vida rural.</t>
  </si>
  <si>
    <t>Presenta el porcentaje de hogares campesinos que cuentan con gas natural como servicio básico, durante el periodo 2019–2023. El indicador permite identificar la magnitud y estabilidad del acceso a electricidad como servicio esencial para la calidad de vida rural.</t>
  </si>
  <si>
    <t>Porcentaje de hogares con gas natural (%)</t>
  </si>
  <si>
    <t>Porcentaje de hogares campesinos con acceso a acueducto, 2019–2023</t>
  </si>
  <si>
    <t>Porcentaje de hogares con acueducto (%)</t>
  </si>
  <si>
    <t>Muestra el porcentaje de hogares campesinos con acceso al servicio de acueducto entre 2019 y 2023. Este indicador es clave para evaluar el acceso a agua potable y las condiciones sanitarias en las zonas rurales.</t>
  </si>
  <si>
    <t>Porcentaje de hogares campesinos con acceso a alcantarillado, 2019–2023</t>
  </si>
  <si>
    <t>Porcentaje de hogares con alcantarillado (%)</t>
  </si>
  <si>
    <t>Presenta el porcentaje de hogares campesinos conectados al sistema de alcantarillado, para el periodo 2019–2023. El indicador permite medir condiciones de saneamiento básico y riesgos asociados a salud pública.</t>
  </si>
  <si>
    <t>Porcentaje de hogares campesinos con servicio de recolección de basura, 2019–2023</t>
  </si>
  <si>
    <t>Porcentaje de hogares con recolección de basura (%)</t>
  </si>
  <si>
    <t>Presenta el porcentaje de hogares campesinos que cuentan con servicio de recolección de residuos, durante 2019–2023, permitiendo evaluar cobertura y condiciones ambientales en áreas rurales.</t>
  </si>
  <si>
    <t>Porcentaje de hogares campesinos con acceso a teléfono fijo, 2019–2023</t>
  </si>
  <si>
    <t>El mapa muestra el porcentaje de hogares campesinos que utilizan teléfono fijo, entre 2019 y 2023. Aunque se trata de un servicio en declive, sigue siendo relevante para hogares rurales con limitaciones de conectividad móvil o internet.</t>
  </si>
  <si>
    <t>Porcentaje de hogares con teléfono fijo (%)</t>
  </si>
  <si>
    <t>Porcentaje de hogares campesinos sin acceso a servicios públicos, 2019–2023</t>
  </si>
  <si>
    <t>Porcentaje de hogares sin servicios públicos (%)</t>
  </si>
  <si>
    <t>Presenta el porcentaje de hogares campesinos que no cuentan con ningún servicio público básico durante el período 2019–2023. Este indicador permite identificar condiciones de vulnerabilidad extrema en el territorio rural.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</si>
</sst>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2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3">
    <cellStyle name="Hipervínculo" xfId="2" builtinId="8"/>
    <cellStyle name="Normal" xfId="0" builtinId="0"/>
    <cellStyle name="Porcentaje 4 2" xfId="1" xr:uid="{37D34289-6E07-4648-82AE-F70695F1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PORCENTAJE</a:t>
            </a:r>
            <a:r>
              <a:rPr lang="es-CO"/>
              <a:t> DE HOGARES CAMPESINOS</a:t>
            </a:r>
            <a:r>
              <a:rPr lang="es-CO" baseline="0"/>
              <a:t> POR ACCESO A SERVICIO PUBLICO DE ENERGIA</a:t>
            </a:r>
          </a:p>
          <a:p>
            <a:pPr>
              <a:defRPr/>
            </a:pPr>
            <a:r>
              <a:rPr lang="es-CO" sz="1200" baseline="0"/>
              <a:t>2019 A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Data1!$A$3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Data1!$B$3:$F$3</c:f>
              <c:numCache>
                <c:formatCode>#,##0.0</c:formatCode>
                <c:ptCount val="5"/>
                <c:pt idx="0">
                  <c:v>95.851456200000001</c:v>
                </c:pt>
                <c:pt idx="1">
                  <c:v>95.817382835000004</c:v>
                </c:pt>
                <c:pt idx="2">
                  <c:v>93.838591800000003</c:v>
                </c:pt>
                <c:pt idx="3">
                  <c:v>96.868265500000007</c:v>
                </c:pt>
                <c:pt idx="4">
                  <c:v>97.105636418299994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D-4C5E-8960-EAA97AC48CF6}"/>
            </c:ext>
          </c:extLst>
        </c:ser>
        <c:ser>
          <c:idx val="2"/>
          <c:order val="2"/>
          <c:tx>
            <c:strRef>
              <c:f>Data1!$A$4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Data1!$B$4:$F$4</c:f>
              <c:numCache>
                <c:formatCode>#,##0.0</c:formatCode>
                <c:ptCount val="5"/>
                <c:pt idx="0">
                  <c:v>97.765102499999998</c:v>
                </c:pt>
                <c:pt idx="1">
                  <c:v>99.276754803399996</c:v>
                </c:pt>
                <c:pt idx="2">
                  <c:v>98.298939300000001</c:v>
                </c:pt>
                <c:pt idx="3">
                  <c:v>99.023956900000002</c:v>
                </c:pt>
                <c:pt idx="4">
                  <c:v>99.546768737600004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D-4C5E-8960-EAA97AC48CF6}"/>
            </c:ext>
          </c:extLst>
        </c:ser>
        <c:ser>
          <c:idx val="3"/>
          <c:order val="3"/>
          <c:tx>
            <c:strRef>
              <c:f>Data1!$A$5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Data1!$B$5:$F$5</c:f>
              <c:numCache>
                <c:formatCode>#,##0.0</c:formatCode>
                <c:ptCount val="5"/>
                <c:pt idx="0">
                  <c:v>99.205831799999999</c:v>
                </c:pt>
                <c:pt idx="1">
                  <c:v>99.1800037446</c:v>
                </c:pt>
                <c:pt idx="2">
                  <c:v>98.175571399999995</c:v>
                </c:pt>
                <c:pt idx="3">
                  <c:v>99.515152400000005</c:v>
                </c:pt>
                <c:pt idx="4">
                  <c:v>99.542602157199994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D-4C5E-8960-EAA97AC48CF6}"/>
            </c:ext>
          </c:extLst>
        </c:ser>
        <c:ser>
          <c:idx val="4"/>
          <c:order val="4"/>
          <c:tx>
            <c:strRef>
              <c:f>Data1!$A$6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Data1!$B$6:$F$6</c:f>
              <c:numCache>
                <c:formatCode>#,##0.0</c:formatCode>
                <c:ptCount val="5"/>
                <c:pt idx="0">
                  <c:v>98.155537100000004</c:v>
                </c:pt>
                <c:pt idx="1">
                  <c:v>98.330183671599997</c:v>
                </c:pt>
                <c:pt idx="2">
                  <c:v>98.162046700000005</c:v>
                </c:pt>
                <c:pt idx="3">
                  <c:v>98.127218299999996</c:v>
                </c:pt>
                <c:pt idx="4">
                  <c:v>98.661214029500002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D-4C5E-8960-EAA97AC48CF6}"/>
            </c:ext>
          </c:extLst>
        </c:ser>
        <c:ser>
          <c:idx val="5"/>
          <c:order val="5"/>
          <c:tx>
            <c:strRef>
              <c:f>Data1!$A$7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Data1!$B$1:$F$1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Data1!$B$7:$F$7</c:f>
              <c:numCache>
                <c:formatCode>#,##0.0</c:formatCode>
                <c:ptCount val="5"/>
                <c:pt idx="0">
                  <c:v>99.021531800000005</c:v>
                </c:pt>
                <c:pt idx="1">
                  <c:v>99.320525875100003</c:v>
                </c:pt>
                <c:pt idx="2">
                  <c:v>97.718317799999994</c:v>
                </c:pt>
                <c:pt idx="3">
                  <c:v>99.274386699999994</c:v>
                </c:pt>
                <c:pt idx="4">
                  <c:v>98.933458421899999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D-4C5E-8960-EAA97AC48C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Data1!$A$2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Data1!$B$1:$F$1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Data1!$B$2:$F$2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9FD-4C5E-8960-EAA97AC48CF6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HOGARES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PORCENTAJE</a:t>
            </a:r>
            <a:r>
              <a:rPr lang="es-CO"/>
              <a:t> DE HOGARES</a:t>
            </a:r>
            <a:r>
              <a:rPr lang="es-CO" baseline="0"/>
              <a:t> CAMPESINOS POR ACCESO A SERVICIO PUBLICO DE GAS NATURAL</a:t>
            </a:r>
            <a:br>
              <a:rPr lang="es-CO" baseline="0"/>
            </a:b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Data2!$A$3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Data2!$B$3:$F$3</c:f>
              <c:numCache>
                <c:formatCode>#,##0.0</c:formatCode>
                <c:ptCount val="5"/>
                <c:pt idx="0">
                  <c:v>34.661728199999999</c:v>
                </c:pt>
                <c:pt idx="1">
                  <c:v>31.667253565300001</c:v>
                </c:pt>
                <c:pt idx="2">
                  <c:v>32.0915094</c:v>
                </c:pt>
                <c:pt idx="3">
                  <c:v>34.925082799999998</c:v>
                </c:pt>
                <c:pt idx="4">
                  <c:v>37.659835491400003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2-490F-9D5E-C62CBCE3B823}"/>
            </c:ext>
          </c:extLst>
        </c:ser>
        <c:ser>
          <c:idx val="2"/>
          <c:order val="2"/>
          <c:tx>
            <c:strRef>
              <c:f>Data2!$A$4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Data2!$B$4:$F$4</c:f>
              <c:numCache>
                <c:formatCode>#,##0.0</c:formatCode>
                <c:ptCount val="5"/>
                <c:pt idx="0">
                  <c:v>39.199482600000003</c:v>
                </c:pt>
                <c:pt idx="1">
                  <c:v>35.386394772899997</c:v>
                </c:pt>
                <c:pt idx="2">
                  <c:v>38.860390500000001</c:v>
                </c:pt>
                <c:pt idx="3">
                  <c:v>43.5539573</c:v>
                </c:pt>
                <c:pt idx="4">
                  <c:v>45.350075606899999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2-490F-9D5E-C62CBCE3B823}"/>
            </c:ext>
          </c:extLst>
        </c:ser>
        <c:ser>
          <c:idx val="3"/>
          <c:order val="3"/>
          <c:tx>
            <c:strRef>
              <c:f>Data2!$A$5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Data2!$B$5:$F$5</c:f>
              <c:numCache>
                <c:formatCode>#,##0.0</c:formatCode>
                <c:ptCount val="5"/>
                <c:pt idx="0">
                  <c:v>36.297599499999997</c:v>
                </c:pt>
                <c:pt idx="1">
                  <c:v>46.572721564600002</c:v>
                </c:pt>
                <c:pt idx="2">
                  <c:v>51.144577099999999</c:v>
                </c:pt>
                <c:pt idx="3">
                  <c:v>51.820235699999998</c:v>
                </c:pt>
                <c:pt idx="4">
                  <c:v>54.302164736599998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42-490F-9D5E-C62CBCE3B823}"/>
            </c:ext>
          </c:extLst>
        </c:ser>
        <c:ser>
          <c:idx val="4"/>
          <c:order val="4"/>
          <c:tx>
            <c:strRef>
              <c:f>Data2!$A$6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Data2!$B$6:$F$6</c:f>
              <c:numCache>
                <c:formatCode>#,##0.0</c:formatCode>
                <c:ptCount val="5"/>
                <c:pt idx="0">
                  <c:v>19.635327100000001</c:v>
                </c:pt>
                <c:pt idx="1">
                  <c:v>20.637664124400001</c:v>
                </c:pt>
                <c:pt idx="2">
                  <c:v>30.585136200000001</c:v>
                </c:pt>
                <c:pt idx="3">
                  <c:v>28.543343499999999</c:v>
                </c:pt>
                <c:pt idx="4">
                  <c:v>29.266854381999998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42-490F-9D5E-C62CBCE3B823}"/>
            </c:ext>
          </c:extLst>
        </c:ser>
        <c:ser>
          <c:idx val="5"/>
          <c:order val="5"/>
          <c:tx>
            <c:strRef>
              <c:f>Data2!$A$7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Data2!$B$1:$F$1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Data2!$B$7:$F$7</c:f>
              <c:numCache>
                <c:formatCode>#,##0.0</c:formatCode>
                <c:ptCount val="5"/>
                <c:pt idx="0">
                  <c:v>29.370744800000001</c:v>
                </c:pt>
                <c:pt idx="1">
                  <c:v>34.030602202099999</c:v>
                </c:pt>
                <c:pt idx="2">
                  <c:v>29.5821516</c:v>
                </c:pt>
                <c:pt idx="3">
                  <c:v>31.2948287</c:v>
                </c:pt>
                <c:pt idx="4">
                  <c:v>37.1274019795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42-490F-9D5E-C62CBCE3B8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Data2!$A$2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Data2!$B$1:$F$1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Data2!$B$2:$F$2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542-490F-9D5E-C62CBCE3B823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HOGARES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PORCENTAJE</a:t>
            </a:r>
            <a:r>
              <a:rPr lang="es-CO"/>
              <a:t> DE HOGARES</a:t>
            </a:r>
            <a:r>
              <a:rPr lang="es-CO" baseline="0"/>
              <a:t> CAMPESINOS POR ACCESO A SERVICIO PUBLICO DE ACUEDUCTO</a:t>
            </a:r>
          </a:p>
          <a:p>
            <a:pPr>
              <a:defRPr/>
            </a:pP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Data3!$A$3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Data3!$B$3:$F$3</c:f>
              <c:numCache>
                <c:formatCode>#,##0.0</c:formatCode>
                <c:ptCount val="5"/>
                <c:pt idx="0">
                  <c:v>69.287173300000006</c:v>
                </c:pt>
                <c:pt idx="1">
                  <c:v>74.026164463499995</c:v>
                </c:pt>
                <c:pt idx="2">
                  <c:v>66.292274000000006</c:v>
                </c:pt>
                <c:pt idx="3">
                  <c:v>71.706719199999995</c:v>
                </c:pt>
                <c:pt idx="4">
                  <c:v>74.410825242100003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3-43D9-9943-17B1268FC01A}"/>
            </c:ext>
          </c:extLst>
        </c:ser>
        <c:ser>
          <c:idx val="2"/>
          <c:order val="2"/>
          <c:tx>
            <c:strRef>
              <c:f>Data3!$A$4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Data3!$B$4:$F$4</c:f>
              <c:numCache>
                <c:formatCode>#,##0.0</c:formatCode>
                <c:ptCount val="5"/>
                <c:pt idx="0">
                  <c:v>78.814155299999996</c:v>
                </c:pt>
                <c:pt idx="1">
                  <c:v>88.562665174399996</c:v>
                </c:pt>
                <c:pt idx="2">
                  <c:v>81.265805099999994</c:v>
                </c:pt>
                <c:pt idx="3">
                  <c:v>83.042237600000007</c:v>
                </c:pt>
                <c:pt idx="4">
                  <c:v>92.128734286899999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93-43D9-9943-17B1268FC01A}"/>
            </c:ext>
          </c:extLst>
        </c:ser>
        <c:ser>
          <c:idx val="3"/>
          <c:order val="3"/>
          <c:tx>
            <c:strRef>
              <c:f>Data3!$A$5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Data3!$B$5:$F$5</c:f>
              <c:numCache>
                <c:formatCode>#,##0.0</c:formatCode>
                <c:ptCount val="5"/>
                <c:pt idx="0">
                  <c:v>76.677913399999994</c:v>
                </c:pt>
                <c:pt idx="1">
                  <c:v>92.451433006299993</c:v>
                </c:pt>
                <c:pt idx="2">
                  <c:v>82.877029399999998</c:v>
                </c:pt>
                <c:pt idx="3">
                  <c:v>91.0217229</c:v>
                </c:pt>
                <c:pt idx="4">
                  <c:v>92.854127079199998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93-43D9-9943-17B1268FC01A}"/>
            </c:ext>
          </c:extLst>
        </c:ser>
        <c:ser>
          <c:idx val="4"/>
          <c:order val="4"/>
          <c:tx>
            <c:strRef>
              <c:f>Data3!$A$6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Data3!$B$6:$F$6</c:f>
              <c:numCache>
                <c:formatCode>#,##0.0</c:formatCode>
                <c:ptCount val="5"/>
                <c:pt idx="0">
                  <c:v>57.8951925</c:v>
                </c:pt>
                <c:pt idx="1">
                  <c:v>62.584048336199999</c:v>
                </c:pt>
                <c:pt idx="2">
                  <c:v>64.927706400000005</c:v>
                </c:pt>
                <c:pt idx="3">
                  <c:v>55.6156127</c:v>
                </c:pt>
                <c:pt idx="4">
                  <c:v>60.020024329500004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93-43D9-9943-17B1268FC01A}"/>
            </c:ext>
          </c:extLst>
        </c:ser>
        <c:ser>
          <c:idx val="5"/>
          <c:order val="5"/>
          <c:tx>
            <c:strRef>
              <c:f>Data3!$A$7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Data3!$B$7:$F$7</c:f>
              <c:numCache>
                <c:formatCode>#,##0.0</c:formatCode>
                <c:ptCount val="5"/>
                <c:pt idx="0">
                  <c:v>58.763851899999999</c:v>
                </c:pt>
                <c:pt idx="1">
                  <c:v>70.953973391700004</c:v>
                </c:pt>
                <c:pt idx="2">
                  <c:v>51.448555599999999</c:v>
                </c:pt>
                <c:pt idx="3">
                  <c:v>64.842394200000001</c:v>
                </c:pt>
                <c:pt idx="4">
                  <c:v>76.838331383699995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93-43D9-9943-17B1268FC0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Data3!$A$2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Data3!$B$1:$F$1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Data3!$B$2:$F$2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193-43D9-9943-17B1268FC01A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HOGARES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PORCENTAJE </a:t>
            </a:r>
            <a:r>
              <a:rPr lang="es-CO"/>
              <a:t>DE HOGARES CAMPESINOS</a:t>
            </a:r>
            <a:r>
              <a:rPr lang="es-CO" baseline="0"/>
              <a:t> POR ACCESO A SERVICIO PUBLICO DE ALCANTARILLADO</a:t>
            </a:r>
          </a:p>
          <a:p>
            <a:pPr>
              <a:defRPr/>
            </a:pP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Data4!$A$3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Data4!$B$3:$F$3</c:f>
              <c:numCache>
                <c:formatCode>#,##0.0</c:formatCode>
                <c:ptCount val="5"/>
                <c:pt idx="0">
                  <c:v>41.916791799999999</c:v>
                </c:pt>
                <c:pt idx="1">
                  <c:v>40.486679863799999</c:v>
                </c:pt>
                <c:pt idx="2">
                  <c:v>37.512424799999998</c:v>
                </c:pt>
                <c:pt idx="3">
                  <c:v>39.338743299999997</c:v>
                </c:pt>
                <c:pt idx="4">
                  <c:v>41.102808159200002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7-45F0-B439-8B7810F0E2E3}"/>
            </c:ext>
          </c:extLst>
        </c:ser>
        <c:ser>
          <c:idx val="2"/>
          <c:order val="2"/>
          <c:tx>
            <c:strRef>
              <c:f>Data4!$A$4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Data4!$B$4:$F$4</c:f>
              <c:numCache>
                <c:formatCode>#,##0.0</c:formatCode>
                <c:ptCount val="5"/>
                <c:pt idx="0">
                  <c:v>45.045389399999998</c:v>
                </c:pt>
                <c:pt idx="1">
                  <c:v>39.233281542500002</c:v>
                </c:pt>
                <c:pt idx="2">
                  <c:v>40.068494000000001</c:v>
                </c:pt>
                <c:pt idx="3">
                  <c:v>44.905104600000001</c:v>
                </c:pt>
                <c:pt idx="4">
                  <c:v>42.633314108900002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7-45F0-B439-8B7810F0E2E3}"/>
            </c:ext>
          </c:extLst>
        </c:ser>
        <c:ser>
          <c:idx val="3"/>
          <c:order val="3"/>
          <c:tx>
            <c:strRef>
              <c:f>Data4!$A$5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Data4!$B$5:$F$5</c:f>
              <c:numCache>
                <c:formatCode>#,##0.0</c:formatCode>
                <c:ptCount val="5"/>
                <c:pt idx="0">
                  <c:v>48.765651800000001</c:v>
                </c:pt>
                <c:pt idx="1">
                  <c:v>52.8501632929</c:v>
                </c:pt>
                <c:pt idx="2">
                  <c:v>55.3246982</c:v>
                </c:pt>
                <c:pt idx="3">
                  <c:v>53.988786900000001</c:v>
                </c:pt>
                <c:pt idx="4">
                  <c:v>54.4286171655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97-45F0-B439-8B7810F0E2E3}"/>
            </c:ext>
          </c:extLst>
        </c:ser>
        <c:ser>
          <c:idx val="4"/>
          <c:order val="4"/>
          <c:tx>
            <c:strRef>
              <c:f>Data4!$A$6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Data4!$B$6:$F$6</c:f>
              <c:numCache>
                <c:formatCode>#,##0.0</c:formatCode>
                <c:ptCount val="5"/>
                <c:pt idx="0">
                  <c:v>41.662388399999998</c:v>
                </c:pt>
                <c:pt idx="1">
                  <c:v>47.336134633699999</c:v>
                </c:pt>
                <c:pt idx="2">
                  <c:v>52.996306599999997</c:v>
                </c:pt>
                <c:pt idx="3">
                  <c:v>47.077579800000002</c:v>
                </c:pt>
                <c:pt idx="4">
                  <c:v>51.351746814899997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97-45F0-B439-8B7810F0E2E3}"/>
            </c:ext>
          </c:extLst>
        </c:ser>
        <c:ser>
          <c:idx val="5"/>
          <c:order val="5"/>
          <c:tx>
            <c:strRef>
              <c:f>Data4!$A$7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Data4!$B$1:$F$1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Data4!$B$7:$F$7</c:f>
              <c:numCache>
                <c:formatCode>#,##0.0</c:formatCode>
                <c:ptCount val="5"/>
                <c:pt idx="0">
                  <c:v>40.225017200000003</c:v>
                </c:pt>
                <c:pt idx="1">
                  <c:v>34.248776081599999</c:v>
                </c:pt>
                <c:pt idx="2">
                  <c:v>29.9528994</c:v>
                </c:pt>
                <c:pt idx="3">
                  <c:v>36.337149699999998</c:v>
                </c:pt>
                <c:pt idx="4">
                  <c:v>42.313383209400001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97-45F0-B439-8B7810F0E2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Data4!$A$2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Data4!$B$1:$F$1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Data4!$B$2:$F$2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597-45F0-B439-8B7810F0E2E3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HOGARES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PORCENTAJE</a:t>
            </a:r>
            <a:r>
              <a:rPr lang="es-CO"/>
              <a:t> DE HOGARES CAMPESINOS</a:t>
            </a:r>
            <a:r>
              <a:rPr lang="es-CO" baseline="0"/>
              <a:t> POR ACCESO A SERVICIO PUBLICO DE RECOLECCION DE BASURAS</a:t>
            </a:r>
          </a:p>
          <a:p>
            <a:pPr>
              <a:defRPr/>
            </a:pP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Data5!$A$3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Data5!$B$3:$F$3</c:f>
              <c:numCache>
                <c:formatCode>#,##0.0</c:formatCode>
                <c:ptCount val="5"/>
                <c:pt idx="0">
                  <c:v>53.946342199999997</c:v>
                </c:pt>
                <c:pt idx="1">
                  <c:v>52.8767875809</c:v>
                </c:pt>
                <c:pt idx="2">
                  <c:v>50.737523199999998</c:v>
                </c:pt>
                <c:pt idx="3">
                  <c:v>52.549939999999999</c:v>
                </c:pt>
                <c:pt idx="4">
                  <c:v>53.888832299299999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4-4376-B3CC-431F1F3E56DF}"/>
            </c:ext>
          </c:extLst>
        </c:ser>
        <c:ser>
          <c:idx val="2"/>
          <c:order val="2"/>
          <c:tx>
            <c:strRef>
              <c:f>Data5!$A$4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Data5!$B$4:$F$4</c:f>
              <c:numCache>
                <c:formatCode>#,##0.0</c:formatCode>
                <c:ptCount val="5"/>
                <c:pt idx="0">
                  <c:v>47.689315499999999</c:v>
                </c:pt>
                <c:pt idx="1">
                  <c:v>43.037888356300002</c:v>
                </c:pt>
                <c:pt idx="2">
                  <c:v>44.472478199999998</c:v>
                </c:pt>
                <c:pt idx="3">
                  <c:v>46.998873799999998</c:v>
                </c:pt>
                <c:pt idx="4">
                  <c:v>48.276824746000003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4-4376-B3CC-431F1F3E56DF}"/>
            </c:ext>
          </c:extLst>
        </c:ser>
        <c:ser>
          <c:idx val="3"/>
          <c:order val="3"/>
          <c:tx>
            <c:strRef>
              <c:f>Data5!$A$5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Data5!$B$5:$F$5</c:f>
              <c:numCache>
                <c:formatCode>#,##0.0</c:formatCode>
                <c:ptCount val="5"/>
                <c:pt idx="0">
                  <c:v>65.252782699999997</c:v>
                </c:pt>
                <c:pt idx="1">
                  <c:v>68.856368378300004</c:v>
                </c:pt>
                <c:pt idx="2">
                  <c:v>70.954641600000002</c:v>
                </c:pt>
                <c:pt idx="3">
                  <c:v>67.724219399999996</c:v>
                </c:pt>
                <c:pt idx="4">
                  <c:v>67.442017150699996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4-4376-B3CC-431F1F3E56DF}"/>
            </c:ext>
          </c:extLst>
        </c:ser>
        <c:ser>
          <c:idx val="4"/>
          <c:order val="4"/>
          <c:tx>
            <c:strRef>
              <c:f>Data5!$A$6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Data5!$B$6:$F$6</c:f>
              <c:numCache>
                <c:formatCode>#,##0.0</c:formatCode>
                <c:ptCount val="5"/>
                <c:pt idx="0">
                  <c:v>49.011931099999998</c:v>
                </c:pt>
                <c:pt idx="1">
                  <c:v>54.072461248800003</c:v>
                </c:pt>
                <c:pt idx="2">
                  <c:v>59.248775100000003</c:v>
                </c:pt>
                <c:pt idx="3">
                  <c:v>51.408436299999998</c:v>
                </c:pt>
                <c:pt idx="4">
                  <c:v>55.468940731799997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84-4376-B3CC-431F1F3E56DF}"/>
            </c:ext>
          </c:extLst>
        </c:ser>
        <c:ser>
          <c:idx val="5"/>
          <c:order val="5"/>
          <c:tx>
            <c:strRef>
              <c:f>Data5!$A$7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Data5!$B$1:$F$1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Data5!$B$7:$F$7</c:f>
              <c:numCache>
                <c:formatCode>#,##0.0</c:formatCode>
                <c:ptCount val="5"/>
                <c:pt idx="0">
                  <c:v>46.0566101</c:v>
                </c:pt>
                <c:pt idx="1">
                  <c:v>39.307663684399998</c:v>
                </c:pt>
                <c:pt idx="2">
                  <c:v>34.827223400000001</c:v>
                </c:pt>
                <c:pt idx="3">
                  <c:v>39.889468899999997</c:v>
                </c:pt>
                <c:pt idx="4">
                  <c:v>48.268712651199998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84-4376-B3CC-431F1F3E56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Data5!$A$2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Data5!$B$1:$F$1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Data5!$B$2:$F$2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084-4376-B3CC-431F1F3E56DF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HOGARES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PORCENTAJE</a:t>
            </a:r>
            <a:r>
              <a:rPr lang="es-CO"/>
              <a:t> DE HOGARES</a:t>
            </a:r>
            <a:r>
              <a:rPr lang="es-CO" baseline="0"/>
              <a:t> CAMPESINOS POR ACCESO A SERVICIO PUBLICO DE TELEFONO FIJO</a:t>
            </a:r>
          </a:p>
          <a:p>
            <a:pPr>
              <a:defRPr/>
            </a:pP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Data6!$A$3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Data6!$B$3:$F$3</c:f>
              <c:numCache>
                <c:formatCode>#,##0.0</c:formatCode>
                <c:ptCount val="5"/>
                <c:pt idx="0">
                  <c:v>7.1923295700000001</c:v>
                </c:pt>
                <c:pt idx="1">
                  <c:v>3.6447823296999999</c:v>
                </c:pt>
                <c:pt idx="2">
                  <c:v>3.23560727</c:v>
                </c:pt>
                <c:pt idx="3">
                  <c:v>2.8221603399999999</c:v>
                </c:pt>
                <c:pt idx="4">
                  <c:v>2.9488809606999999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5-4D93-832A-0CCB1EDDFC07}"/>
            </c:ext>
          </c:extLst>
        </c:ser>
        <c:ser>
          <c:idx val="2"/>
          <c:order val="2"/>
          <c:tx>
            <c:strRef>
              <c:f>Data6!$A$4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Data6!$B$4:$F$4</c:f>
              <c:numCache>
                <c:formatCode>#,##0.0</c:formatCode>
                <c:ptCount val="5"/>
                <c:pt idx="0">
                  <c:v>1.97215527</c:v>
                </c:pt>
                <c:pt idx="1">
                  <c:v>1.1848468355999999</c:v>
                </c:pt>
                <c:pt idx="2">
                  <c:v>1.4423179500000001</c:v>
                </c:pt>
                <c:pt idx="3">
                  <c:v>1.2347290399999999</c:v>
                </c:pt>
                <c:pt idx="4">
                  <c:v>0.59575145959999998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5-4D93-832A-0CCB1EDDFC07}"/>
            </c:ext>
          </c:extLst>
        </c:ser>
        <c:ser>
          <c:idx val="3"/>
          <c:order val="3"/>
          <c:tx>
            <c:strRef>
              <c:f>Data6!$A$5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Data6!$B$5:$F$5</c:f>
              <c:numCache>
                <c:formatCode>#,##0.0</c:formatCode>
                <c:ptCount val="5"/>
                <c:pt idx="0">
                  <c:v>3.5196013000000002</c:v>
                </c:pt>
                <c:pt idx="1">
                  <c:v>3.7269040896000001</c:v>
                </c:pt>
                <c:pt idx="2">
                  <c:v>4.5045359999999999</c:v>
                </c:pt>
                <c:pt idx="3">
                  <c:v>2.7189469499999999</c:v>
                </c:pt>
                <c:pt idx="4">
                  <c:v>5.1632091202000003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95-4D93-832A-0CCB1EDDFC07}"/>
            </c:ext>
          </c:extLst>
        </c:ser>
        <c:ser>
          <c:idx val="4"/>
          <c:order val="4"/>
          <c:tx>
            <c:strRef>
              <c:f>Data6!$A$6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Data6!$B$6:$F$6</c:f>
              <c:numCache>
                <c:formatCode>#,##0.0</c:formatCode>
                <c:ptCount val="5"/>
                <c:pt idx="0">
                  <c:v>3.2254737599999999</c:v>
                </c:pt>
                <c:pt idx="1">
                  <c:v>3.4149466838999998</c:v>
                </c:pt>
                <c:pt idx="2">
                  <c:v>4.5025215699999999</c:v>
                </c:pt>
                <c:pt idx="3">
                  <c:v>1.55003592</c:v>
                </c:pt>
                <c:pt idx="4">
                  <c:v>1.8652930741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95-4D93-832A-0CCB1EDDFC07}"/>
            </c:ext>
          </c:extLst>
        </c:ser>
        <c:ser>
          <c:idx val="5"/>
          <c:order val="5"/>
          <c:tx>
            <c:strRef>
              <c:f>Data6!$A$7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Data6!$B$1:$F$1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Data6!$B$7:$F$7</c:f>
              <c:numCache>
                <c:formatCode>#,##0.0</c:formatCode>
                <c:ptCount val="5"/>
                <c:pt idx="0">
                  <c:v>5.4637221800000004</c:v>
                </c:pt>
                <c:pt idx="1">
                  <c:v>3.0903286377999999</c:v>
                </c:pt>
                <c:pt idx="2">
                  <c:v>1.82446967</c:v>
                </c:pt>
                <c:pt idx="3">
                  <c:v>1.8584469299999999</c:v>
                </c:pt>
                <c:pt idx="4">
                  <c:v>5.9428866812000001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95-4D93-832A-0CCB1EDDFC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Data6!$A$2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Data6!$B$1:$F$1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Data6!$B$2:$F$2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C95-4D93-832A-0CCB1EDDFC07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HOGARES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PORCENTAJE</a:t>
            </a:r>
            <a:r>
              <a:rPr lang="es-CO"/>
              <a:t> DE HOGARES</a:t>
            </a:r>
            <a:r>
              <a:rPr lang="es-CO" baseline="0"/>
              <a:t> CAMPESINOS POR ACCESO A NINGUN SERVICIO PUBLICO</a:t>
            </a:r>
          </a:p>
          <a:p>
            <a:pPr>
              <a:defRPr/>
            </a:pPr>
            <a:r>
              <a:rPr lang="es-CO" baseline="0"/>
              <a:t>2019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Data7!$A$3</c:f>
              <c:strCache>
                <c:ptCount val="1"/>
                <c:pt idx="0">
                  <c:v>Total nacional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Data7!$B$3:$F$3</c:f>
              <c:numCache>
                <c:formatCode>#,##0.0</c:formatCode>
                <c:ptCount val="5"/>
                <c:pt idx="0">
                  <c:v>3.4787719899999998</c:v>
                </c:pt>
                <c:pt idx="1">
                  <c:v>3.6340843577999999</c:v>
                </c:pt>
                <c:pt idx="2">
                  <c:v>5.5293601099999998</c:v>
                </c:pt>
                <c:pt idx="3">
                  <c:v>2.72629828</c:v>
                </c:pt>
                <c:pt idx="4">
                  <c:v>2.5580753230000002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B-4FF8-809E-FA690FC38659}"/>
            </c:ext>
          </c:extLst>
        </c:ser>
        <c:ser>
          <c:idx val="2"/>
          <c:order val="2"/>
          <c:tx>
            <c:strRef>
              <c:f>Data7!$A$4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Data7!$B$4:$F$4</c:f>
              <c:numCache>
                <c:formatCode>#,##0.0</c:formatCode>
                <c:ptCount val="5"/>
                <c:pt idx="0">
                  <c:v>1.5364878500000001</c:v>
                </c:pt>
                <c:pt idx="1">
                  <c:v>0.20971436900000001</c:v>
                </c:pt>
                <c:pt idx="2">
                  <c:v>1.26970216</c:v>
                </c:pt>
                <c:pt idx="3">
                  <c:v>0.42764949699999999</c:v>
                </c:pt>
                <c:pt idx="4">
                  <c:v>0.10569729999999999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B-4FF8-809E-FA690FC38659}"/>
            </c:ext>
          </c:extLst>
        </c:ser>
        <c:ser>
          <c:idx val="3"/>
          <c:order val="3"/>
          <c:tx>
            <c:strRef>
              <c:f>Data7!$A$5</c:f>
              <c:strCache>
                <c:ptCount val="1"/>
                <c:pt idx="0">
                  <c:v>Cundinamarca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Data7!$B$5:$F$5</c:f>
              <c:numCache>
                <c:formatCode>#,##0.0</c:formatCode>
                <c:ptCount val="5"/>
                <c:pt idx="0">
                  <c:v>0.49308775999999999</c:v>
                </c:pt>
                <c:pt idx="1">
                  <c:v>0.30292587500000001</c:v>
                </c:pt>
                <c:pt idx="2">
                  <c:v>1.48819754</c:v>
                </c:pt>
                <c:pt idx="3">
                  <c:v>0.33693445900000002</c:v>
                </c:pt>
                <c:pt idx="4">
                  <c:v>5.5879687300000001E-2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CB-4FF8-809E-FA690FC38659}"/>
            </c:ext>
          </c:extLst>
        </c:ser>
        <c:ser>
          <c:idx val="4"/>
          <c:order val="4"/>
          <c:tx>
            <c:strRef>
              <c:f>Data7!$A$6</c:f>
              <c:strCache>
                <c:ptCount val="1"/>
                <c:pt idx="0">
                  <c:v>Norte de Santander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Data7!$B$6:$F$6</c:f>
              <c:numCache>
                <c:formatCode>#,##0.0</c:formatCode>
                <c:ptCount val="5"/>
                <c:pt idx="0">
                  <c:v>1.1745011999999999</c:v>
                </c:pt>
                <c:pt idx="1">
                  <c:v>1.2387790966000001</c:v>
                </c:pt>
                <c:pt idx="2">
                  <c:v>1.65193016</c:v>
                </c:pt>
                <c:pt idx="3">
                  <c:v>1.7162799900000001</c:v>
                </c:pt>
                <c:pt idx="4">
                  <c:v>1.3387859705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CB-4FF8-809E-FA690FC38659}"/>
            </c:ext>
          </c:extLst>
        </c:ser>
        <c:ser>
          <c:idx val="5"/>
          <c:order val="5"/>
          <c:tx>
            <c:strRef>
              <c:f>Data7!$A$7</c:f>
              <c:strCache>
                <c:ptCount val="1"/>
                <c:pt idx="0">
                  <c:v>Santander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Data7!$B$1:$F$1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Data7!$B$7:$F$7</c:f>
              <c:numCache>
                <c:formatCode>#,##0.0</c:formatCode>
                <c:ptCount val="5"/>
                <c:pt idx="0">
                  <c:v>0.46173284999999997</c:v>
                </c:pt>
                <c:pt idx="1">
                  <c:v>0.59001859759999997</c:v>
                </c:pt>
                <c:pt idx="2">
                  <c:v>1.6512767100000001</c:v>
                </c:pt>
                <c:pt idx="3">
                  <c:v>0.54013625499999995</c:v>
                </c:pt>
                <c:pt idx="4">
                  <c:v>0.68140512760000005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CB-4FF8-809E-FA690FC386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401743"/>
        <c:axId val="1306402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Data7!$A$2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O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Data7!$B$1:$F$1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Data7!$B$2:$F$2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2CCB-4FF8-809E-FA690FC38659}"/>
                  </c:ext>
                </c:extLst>
              </c15:ser>
            </c15:filteredBarSeries>
          </c:ext>
        </c:extLst>
      </c:barChart>
      <c:catAx>
        <c:axId val="130640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2703"/>
        <c:crosses val="autoZero"/>
        <c:auto val="1"/>
        <c:lblAlgn val="ctr"/>
        <c:lblOffset val="100"/>
        <c:noMultiLvlLbl val="0"/>
      </c:catAx>
      <c:valAx>
        <c:axId val="13064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</a:t>
                </a:r>
                <a:r>
                  <a:rPr lang="en-US" baseline="0"/>
                  <a:t> DE HOGARES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64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52387</xdr:rowOff>
    </xdr:from>
    <xdr:to>
      <xdr:col>13</xdr:col>
      <xdr:colOff>371475</xdr:colOff>
      <xdr:row>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057A3-AF3A-1616-E11D-0FD986FC4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14</xdr:row>
      <xdr:rowOff>61912</xdr:rowOff>
    </xdr:from>
    <xdr:to>
      <xdr:col>13</xdr:col>
      <xdr:colOff>428625</xdr:colOff>
      <xdr:row>33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3C0AAD-8140-44DF-A33B-E9A79EE3D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14</xdr:row>
      <xdr:rowOff>80962</xdr:rowOff>
    </xdr:from>
    <xdr:to>
      <xdr:col>13</xdr:col>
      <xdr:colOff>533400</xdr:colOff>
      <xdr:row>33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5D1994-4E8B-4227-80B2-82E28EBD7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14</xdr:row>
      <xdr:rowOff>71437</xdr:rowOff>
    </xdr:from>
    <xdr:to>
      <xdr:col>13</xdr:col>
      <xdr:colOff>523875</xdr:colOff>
      <xdr:row>33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0C6FD8-A580-49A2-9E86-DF94DDF9E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14</xdr:row>
      <xdr:rowOff>71437</xdr:rowOff>
    </xdr:from>
    <xdr:to>
      <xdr:col>13</xdr:col>
      <xdr:colOff>542925</xdr:colOff>
      <xdr:row>33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050464-7A4C-48D8-8A1E-461A467E8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14</xdr:row>
      <xdr:rowOff>90487</xdr:rowOff>
    </xdr:from>
    <xdr:to>
      <xdr:col>13</xdr:col>
      <xdr:colOff>419100</xdr:colOff>
      <xdr:row>33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0AF87F-FAAB-4C0D-811C-E399F7838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14</xdr:row>
      <xdr:rowOff>90487</xdr:rowOff>
    </xdr:from>
    <xdr:to>
      <xdr:col>13</xdr:col>
      <xdr:colOff>723900</xdr:colOff>
      <xdr:row>33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101BB-0D62-46D9-9E65-B768919F3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ne.gov.co/index.php/estadisticas-por-tema/pobreza-y-condiciones-de-vid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FF6A-B10D-423B-9D00-C3A205315D2E}">
  <dimension ref="A1:I5"/>
  <sheetViews>
    <sheetView workbookViewId="0">
      <selection activeCell="D6" sqref="D6"/>
    </sheetView>
  </sheetViews>
  <sheetFormatPr baseColWidth="10" defaultRowHeight="14.5" x14ac:dyDescent="0.35"/>
  <sheetData>
    <row r="1" spans="1:9" x14ac:dyDescent="0.35">
      <c r="A1" t="s">
        <v>0</v>
      </c>
      <c r="B1" s="9" t="s">
        <v>17</v>
      </c>
      <c r="C1" s="9"/>
    </row>
    <row r="2" spans="1:9" x14ac:dyDescent="0.35">
      <c r="A2" t="s">
        <v>1</v>
      </c>
      <c r="B2" s="9" t="s">
        <v>18</v>
      </c>
      <c r="C2" s="9"/>
      <c r="D2" s="9"/>
      <c r="E2" s="9"/>
      <c r="F2" s="9"/>
      <c r="G2" s="9"/>
      <c r="H2" s="9"/>
      <c r="I2" s="9"/>
    </row>
    <row r="3" spans="1:9" x14ac:dyDescent="0.35">
      <c r="A3" t="s">
        <v>2</v>
      </c>
      <c r="B3" s="9" t="s">
        <v>19</v>
      </c>
      <c r="C3" s="9"/>
      <c r="D3" s="9"/>
      <c r="E3" s="9"/>
      <c r="F3" s="9"/>
    </row>
    <row r="4" spans="1:9" x14ac:dyDescent="0.35">
      <c r="A4" t="s">
        <v>3</v>
      </c>
    </row>
    <row r="5" spans="1:9" x14ac:dyDescent="0.35">
      <c r="A5" t="s">
        <v>4</v>
      </c>
      <c r="B5" s="11" t="s">
        <v>13</v>
      </c>
      <c r="C5" s="11"/>
      <c r="D5" s="11"/>
      <c r="E5" s="11"/>
      <c r="F5" s="11"/>
      <c r="G5" s="11"/>
      <c r="H5" s="11"/>
      <c r="I5" s="11"/>
    </row>
  </sheetData>
  <mergeCells count="1">
    <mergeCell ref="B5:I5"/>
  </mergeCells>
  <hyperlinks>
    <hyperlink ref="B5" r:id="rId1" xr:uid="{975ED6BC-6613-4B6D-A319-E7615A31A2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F151-3377-4471-BD9A-70737C0ADF9F}">
  <dimension ref="A1:H14"/>
  <sheetViews>
    <sheetView topLeftCell="A11" workbookViewId="0">
      <selection activeCell="B11" sqref="B11"/>
    </sheetView>
  </sheetViews>
  <sheetFormatPr baseColWidth="10" defaultRowHeight="14.5" x14ac:dyDescent="0.35"/>
  <cols>
    <col min="1" max="1" width="29" customWidth="1"/>
  </cols>
  <sheetData>
    <row r="1" spans="1:8" ht="15" customHeight="1" x14ac:dyDescent="0.35">
      <c r="A1" s="13" t="s">
        <v>10</v>
      </c>
      <c r="B1" s="12">
        <v>2019</v>
      </c>
      <c r="C1" s="12">
        <v>2020</v>
      </c>
      <c r="D1" s="12">
        <v>2021</v>
      </c>
      <c r="E1" s="12">
        <v>2022</v>
      </c>
      <c r="F1" s="12">
        <v>2023</v>
      </c>
    </row>
    <row r="2" spans="1:8" x14ac:dyDescent="0.35">
      <c r="A2" s="13"/>
      <c r="B2" s="12"/>
      <c r="C2" s="12"/>
      <c r="D2" s="12"/>
      <c r="E2" s="12"/>
      <c r="F2" s="12"/>
    </row>
    <row r="3" spans="1:8" x14ac:dyDescent="0.35">
      <c r="A3" s="2" t="s">
        <v>14</v>
      </c>
      <c r="B3" s="5">
        <v>95.851456200000001</v>
      </c>
      <c r="C3" s="5">
        <v>95.817382835000004</v>
      </c>
      <c r="D3" s="5">
        <v>93.838591800000003</v>
      </c>
      <c r="E3" s="5">
        <v>96.868265500000007</v>
      </c>
      <c r="F3" s="5">
        <v>97.105636418299994</v>
      </c>
    </row>
    <row r="4" spans="1:8" ht="15" x14ac:dyDescent="0.4">
      <c r="A4" s="1" t="s">
        <v>5</v>
      </c>
      <c r="B4" s="6">
        <v>97.765102499999998</v>
      </c>
      <c r="C4" s="8">
        <v>99.276754803399996</v>
      </c>
      <c r="D4" s="8">
        <v>98.298939300000001</v>
      </c>
      <c r="E4" s="8">
        <v>99.023956900000002</v>
      </c>
      <c r="F4" s="8">
        <v>99.546768737600004</v>
      </c>
    </row>
    <row r="5" spans="1:8" ht="15" x14ac:dyDescent="0.4">
      <c r="A5" s="2" t="s">
        <v>6</v>
      </c>
      <c r="B5" s="5">
        <v>99.205831799999999</v>
      </c>
      <c r="C5" s="7">
        <v>99.1800037446</v>
      </c>
      <c r="D5" s="7">
        <v>98.175571399999995</v>
      </c>
      <c r="E5" s="7">
        <v>99.515152400000005</v>
      </c>
      <c r="F5" s="7">
        <v>99.542602157199994</v>
      </c>
    </row>
    <row r="6" spans="1:8" ht="15" x14ac:dyDescent="0.4">
      <c r="A6" s="1" t="s">
        <v>7</v>
      </c>
      <c r="B6" s="6">
        <v>98.155537100000004</v>
      </c>
      <c r="C6" s="8">
        <v>98.330183671599997</v>
      </c>
      <c r="D6" s="8">
        <v>98.162046700000005</v>
      </c>
      <c r="E6" s="8">
        <v>98.127218299999996</v>
      </c>
      <c r="F6" s="8">
        <v>98.661214029500002</v>
      </c>
    </row>
    <row r="7" spans="1:8" ht="15" x14ac:dyDescent="0.4">
      <c r="A7" s="2" t="s">
        <v>8</v>
      </c>
      <c r="B7" s="7">
        <v>99.021531800000005</v>
      </c>
      <c r="C7" s="7">
        <v>99.320525875100003</v>
      </c>
      <c r="D7" s="7">
        <v>97.718317799999994</v>
      </c>
      <c r="E7" s="7">
        <v>99.274386699999994</v>
      </c>
      <c r="F7" s="7">
        <v>98.933458421899999</v>
      </c>
    </row>
    <row r="8" spans="1:8" ht="15" x14ac:dyDescent="0.4">
      <c r="A8" s="3"/>
      <c r="B8" s="4"/>
      <c r="C8" s="4"/>
      <c r="D8" s="4"/>
      <c r="E8" s="4"/>
      <c r="F8" s="4"/>
    </row>
    <row r="9" spans="1:8" x14ac:dyDescent="0.35">
      <c r="A9" t="s">
        <v>2</v>
      </c>
      <c r="B9" s="9" t="s">
        <v>20</v>
      </c>
      <c r="C9" s="9"/>
      <c r="D9" s="9"/>
      <c r="E9" s="9"/>
      <c r="F9" s="9"/>
    </row>
    <row r="10" spans="1:8" x14ac:dyDescent="0.35">
      <c r="A10" t="s">
        <v>1</v>
      </c>
      <c r="B10" s="9" t="s">
        <v>23</v>
      </c>
      <c r="C10" s="9"/>
      <c r="D10" s="9"/>
      <c r="E10" s="9"/>
      <c r="F10" s="9"/>
      <c r="G10" s="9"/>
      <c r="H10" s="9"/>
    </row>
    <row r="11" spans="1:8" x14ac:dyDescent="0.35">
      <c r="A11" t="s">
        <v>9</v>
      </c>
      <c r="B11" t="s">
        <v>21</v>
      </c>
    </row>
    <row r="12" spans="1:8" x14ac:dyDescent="0.35">
      <c r="A12" t="s">
        <v>11</v>
      </c>
      <c r="B12" t="s">
        <v>12</v>
      </c>
    </row>
    <row r="14" spans="1:8" x14ac:dyDescent="0.35">
      <c r="A14" t="s">
        <v>15</v>
      </c>
      <c r="B14" s="10" t="s">
        <v>16</v>
      </c>
      <c r="C14" s="10"/>
    </row>
  </sheetData>
  <mergeCells count="7">
    <mergeCell ref="B14:C14"/>
    <mergeCell ref="F1:F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A8DC-7808-454E-8EEB-26D87D714533}">
  <dimension ref="A1:I14"/>
  <sheetViews>
    <sheetView topLeftCell="A3" workbookViewId="0">
      <selection activeCell="K5" sqref="K5"/>
    </sheetView>
  </sheetViews>
  <sheetFormatPr baseColWidth="10" defaultRowHeight="14.5" x14ac:dyDescent="0.35"/>
  <cols>
    <col min="1" max="1" width="29" customWidth="1"/>
  </cols>
  <sheetData>
    <row r="1" spans="1:9" ht="15" customHeight="1" x14ac:dyDescent="0.35">
      <c r="A1" s="13" t="s">
        <v>10</v>
      </c>
      <c r="B1" s="12">
        <v>2019</v>
      </c>
      <c r="C1" s="12">
        <v>2020</v>
      </c>
      <c r="D1" s="12">
        <v>2021</v>
      </c>
      <c r="E1" s="12">
        <v>2022</v>
      </c>
      <c r="F1" s="12">
        <v>2023</v>
      </c>
    </row>
    <row r="2" spans="1:9" x14ac:dyDescent="0.35">
      <c r="A2" s="13"/>
      <c r="B2" s="12"/>
      <c r="C2" s="12"/>
      <c r="D2" s="12"/>
      <c r="E2" s="12"/>
      <c r="F2" s="12"/>
    </row>
    <row r="3" spans="1:9" x14ac:dyDescent="0.35">
      <c r="A3" s="2" t="s">
        <v>14</v>
      </c>
      <c r="B3" s="5">
        <v>34.661728199999999</v>
      </c>
      <c r="C3" s="5">
        <v>31.667253565300001</v>
      </c>
      <c r="D3" s="5">
        <v>32.0915094</v>
      </c>
      <c r="E3" s="5">
        <v>34.925082799999998</v>
      </c>
      <c r="F3" s="5">
        <v>37.659835491400003</v>
      </c>
    </row>
    <row r="4" spans="1:9" ht="15" x14ac:dyDescent="0.4">
      <c r="A4" s="1" t="s">
        <v>5</v>
      </c>
      <c r="B4" s="6">
        <v>39.199482600000003</v>
      </c>
      <c r="C4" s="6">
        <v>35.386394772899997</v>
      </c>
      <c r="D4" s="8">
        <v>38.860390500000001</v>
      </c>
      <c r="E4" s="8">
        <v>43.5539573</v>
      </c>
      <c r="F4" s="8">
        <v>45.350075606899999</v>
      </c>
    </row>
    <row r="5" spans="1:9" ht="15" x14ac:dyDescent="0.4">
      <c r="A5" s="2" t="s">
        <v>6</v>
      </c>
      <c r="B5" s="5">
        <v>36.297599499999997</v>
      </c>
      <c r="C5" s="5">
        <v>46.572721564600002</v>
      </c>
      <c r="D5" s="7">
        <v>51.144577099999999</v>
      </c>
      <c r="E5" s="7">
        <v>51.820235699999998</v>
      </c>
      <c r="F5" s="7">
        <v>54.302164736599998</v>
      </c>
    </row>
    <row r="6" spans="1:9" ht="15" x14ac:dyDescent="0.4">
      <c r="A6" s="1" t="s">
        <v>7</v>
      </c>
      <c r="B6" s="6">
        <v>19.635327100000001</v>
      </c>
      <c r="C6" s="6">
        <v>20.637664124400001</v>
      </c>
      <c r="D6" s="8">
        <v>30.585136200000001</v>
      </c>
      <c r="E6" s="8">
        <v>28.543343499999999</v>
      </c>
      <c r="F6" s="8">
        <v>29.266854381999998</v>
      </c>
    </row>
    <row r="7" spans="1:9" ht="15" x14ac:dyDescent="0.4">
      <c r="A7" s="2" t="s">
        <v>8</v>
      </c>
      <c r="B7" s="7">
        <v>29.370744800000001</v>
      </c>
      <c r="C7" s="7">
        <v>34.030602202099999</v>
      </c>
      <c r="D7" s="7">
        <v>29.5821516</v>
      </c>
      <c r="E7" s="7">
        <v>31.2948287</v>
      </c>
      <c r="F7" s="7">
        <v>37.1274019795</v>
      </c>
    </row>
    <row r="8" spans="1:9" ht="15" x14ac:dyDescent="0.4">
      <c r="A8" s="3"/>
      <c r="B8" s="4"/>
      <c r="C8" s="4"/>
      <c r="D8" s="4"/>
      <c r="E8" s="4"/>
      <c r="F8" s="4"/>
    </row>
    <row r="9" spans="1:9" x14ac:dyDescent="0.35">
      <c r="A9" t="s">
        <v>2</v>
      </c>
      <c r="B9" s="10" t="s">
        <v>22</v>
      </c>
      <c r="C9" s="10"/>
      <c r="D9" s="10"/>
      <c r="E9" s="10"/>
      <c r="F9" s="10"/>
      <c r="G9" s="10"/>
    </row>
    <row r="10" spans="1:9" x14ac:dyDescent="0.35">
      <c r="A10" t="s">
        <v>1</v>
      </c>
      <c r="B10" s="9" t="s">
        <v>24</v>
      </c>
      <c r="C10" s="9"/>
      <c r="D10" s="9"/>
      <c r="E10" s="9"/>
      <c r="F10" s="9"/>
      <c r="G10" s="9"/>
      <c r="H10" s="9"/>
      <c r="I10" s="9"/>
    </row>
    <row r="11" spans="1:9" x14ac:dyDescent="0.35">
      <c r="A11" t="s">
        <v>9</v>
      </c>
      <c r="B11" s="9" t="s">
        <v>25</v>
      </c>
      <c r="C11" s="9"/>
    </row>
    <row r="12" spans="1:9" x14ac:dyDescent="0.35">
      <c r="A12" t="s">
        <v>11</v>
      </c>
      <c r="B12" t="s">
        <v>12</v>
      </c>
    </row>
    <row r="14" spans="1:9" x14ac:dyDescent="0.35">
      <c r="A14" t="s">
        <v>15</v>
      </c>
      <c r="B14" s="10" t="s">
        <v>16</v>
      </c>
      <c r="C14" s="10"/>
    </row>
  </sheetData>
  <mergeCells count="8">
    <mergeCell ref="B14:C14"/>
    <mergeCell ref="B9:G9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F425-E873-412F-90B0-74908B94CB59}">
  <dimension ref="A1:H14"/>
  <sheetViews>
    <sheetView topLeftCell="A14" workbookViewId="0">
      <selection activeCell="B10" sqref="B10:H10"/>
    </sheetView>
  </sheetViews>
  <sheetFormatPr baseColWidth="10" defaultRowHeight="14.5" x14ac:dyDescent="0.35"/>
  <cols>
    <col min="1" max="1" width="29" customWidth="1"/>
  </cols>
  <sheetData>
    <row r="1" spans="1:8" ht="15" customHeight="1" x14ac:dyDescent="0.35">
      <c r="A1" s="13" t="s">
        <v>10</v>
      </c>
      <c r="B1" s="12">
        <v>2019</v>
      </c>
      <c r="C1" s="12">
        <v>2020</v>
      </c>
      <c r="D1" s="12">
        <v>2021</v>
      </c>
      <c r="E1" s="12">
        <v>2022</v>
      </c>
      <c r="F1" s="12">
        <v>2023</v>
      </c>
    </row>
    <row r="2" spans="1:8" x14ac:dyDescent="0.35">
      <c r="A2" s="13"/>
      <c r="B2" s="12"/>
      <c r="C2" s="12"/>
      <c r="D2" s="12"/>
      <c r="E2" s="12"/>
      <c r="F2" s="12"/>
    </row>
    <row r="3" spans="1:8" x14ac:dyDescent="0.35">
      <c r="A3" s="2" t="s">
        <v>14</v>
      </c>
      <c r="B3" s="5">
        <v>69.287173300000006</v>
      </c>
      <c r="C3" s="5">
        <v>74.026164463499995</v>
      </c>
      <c r="D3" s="5">
        <v>66.292274000000006</v>
      </c>
      <c r="E3" s="5">
        <v>71.706719199999995</v>
      </c>
      <c r="F3" s="5">
        <v>74.410825242100003</v>
      </c>
    </row>
    <row r="4" spans="1:8" ht="15" x14ac:dyDescent="0.4">
      <c r="A4" s="1" t="s">
        <v>5</v>
      </c>
      <c r="B4" s="6">
        <v>78.814155299999996</v>
      </c>
      <c r="C4" s="6">
        <v>88.562665174399996</v>
      </c>
      <c r="D4" s="6">
        <v>81.265805099999994</v>
      </c>
      <c r="E4" s="8">
        <v>83.042237600000007</v>
      </c>
      <c r="F4" s="6">
        <v>92.128734286899999</v>
      </c>
    </row>
    <row r="5" spans="1:8" ht="15" x14ac:dyDescent="0.4">
      <c r="A5" s="2" t="s">
        <v>6</v>
      </c>
      <c r="B5" s="5">
        <v>76.677913399999994</v>
      </c>
      <c r="C5" s="5">
        <v>92.451433006299993</v>
      </c>
      <c r="D5" s="5">
        <v>82.877029399999998</v>
      </c>
      <c r="E5" s="7">
        <v>91.0217229</v>
      </c>
      <c r="F5" s="5">
        <v>92.854127079199998</v>
      </c>
    </row>
    <row r="6" spans="1:8" ht="15" x14ac:dyDescent="0.4">
      <c r="A6" s="1" t="s">
        <v>7</v>
      </c>
      <c r="B6" s="6">
        <v>57.8951925</v>
      </c>
      <c r="C6" s="6">
        <v>62.584048336199999</v>
      </c>
      <c r="D6" s="6">
        <v>64.927706400000005</v>
      </c>
      <c r="E6" s="8">
        <v>55.6156127</v>
      </c>
      <c r="F6" s="6">
        <v>60.020024329500004</v>
      </c>
    </row>
    <row r="7" spans="1:8" ht="15" x14ac:dyDescent="0.4">
      <c r="A7" s="2" t="s">
        <v>8</v>
      </c>
      <c r="B7" s="7">
        <v>58.763851899999999</v>
      </c>
      <c r="C7" s="7">
        <v>70.953973391700004</v>
      </c>
      <c r="D7" s="7">
        <v>51.448555599999999</v>
      </c>
      <c r="E7" s="7">
        <v>64.842394200000001</v>
      </c>
      <c r="F7" s="7">
        <v>76.838331383699995</v>
      </c>
    </row>
    <row r="8" spans="1:8" ht="15" x14ac:dyDescent="0.4">
      <c r="A8" s="3"/>
      <c r="B8" s="4"/>
      <c r="C8" s="4"/>
      <c r="D8" s="4"/>
      <c r="E8" s="4"/>
      <c r="F8" s="4"/>
    </row>
    <row r="9" spans="1:8" x14ac:dyDescent="0.35">
      <c r="A9" t="s">
        <v>2</v>
      </c>
      <c r="B9" s="9" t="s">
        <v>26</v>
      </c>
      <c r="C9" s="9"/>
      <c r="D9" s="9"/>
      <c r="E9" s="9"/>
      <c r="F9" s="9"/>
      <c r="G9" s="9"/>
    </row>
    <row r="10" spans="1:8" x14ac:dyDescent="0.35">
      <c r="A10" t="s">
        <v>1</v>
      </c>
      <c r="B10" s="10" t="s">
        <v>28</v>
      </c>
      <c r="C10" s="10"/>
      <c r="D10" s="10"/>
      <c r="E10" s="10"/>
      <c r="F10" s="10"/>
      <c r="G10" s="10"/>
      <c r="H10" s="10"/>
    </row>
    <row r="11" spans="1:8" x14ac:dyDescent="0.35">
      <c r="A11" t="s">
        <v>9</v>
      </c>
      <c r="B11" t="s">
        <v>27</v>
      </c>
    </row>
    <row r="12" spans="1:8" x14ac:dyDescent="0.35">
      <c r="A12" t="s">
        <v>11</v>
      </c>
      <c r="B12" t="s">
        <v>12</v>
      </c>
    </row>
    <row r="14" spans="1:8" x14ac:dyDescent="0.35">
      <c r="A14" t="s">
        <v>15</v>
      </c>
      <c r="B14" s="10" t="s">
        <v>16</v>
      </c>
      <c r="C14" s="10"/>
    </row>
  </sheetData>
  <mergeCells count="8">
    <mergeCell ref="B14:C14"/>
    <mergeCell ref="B10:H10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55AA-7E29-4023-BC4E-BE383F349C85}">
  <dimension ref="A1:I14"/>
  <sheetViews>
    <sheetView topLeftCell="A7" workbookViewId="0">
      <selection activeCell="B10" sqref="B10"/>
    </sheetView>
  </sheetViews>
  <sheetFormatPr baseColWidth="10" defaultRowHeight="14.5" x14ac:dyDescent="0.35"/>
  <cols>
    <col min="1" max="1" width="29" customWidth="1"/>
  </cols>
  <sheetData>
    <row r="1" spans="1:9" ht="15" customHeight="1" x14ac:dyDescent="0.35">
      <c r="A1" s="13" t="s">
        <v>10</v>
      </c>
      <c r="B1" s="12">
        <v>2019</v>
      </c>
      <c r="C1" s="12">
        <v>2020</v>
      </c>
      <c r="D1" s="12">
        <v>2021</v>
      </c>
      <c r="E1" s="12">
        <v>2022</v>
      </c>
      <c r="F1" s="12">
        <v>2023</v>
      </c>
    </row>
    <row r="2" spans="1:9" x14ac:dyDescent="0.35">
      <c r="A2" s="13"/>
      <c r="B2" s="12"/>
      <c r="C2" s="12"/>
      <c r="D2" s="12"/>
      <c r="E2" s="12"/>
      <c r="F2" s="12"/>
    </row>
    <row r="3" spans="1:9" x14ac:dyDescent="0.35">
      <c r="A3" s="2" t="s">
        <v>14</v>
      </c>
      <c r="B3" s="5">
        <v>41.916791799999999</v>
      </c>
      <c r="C3" s="5">
        <v>40.486679863799999</v>
      </c>
      <c r="D3" s="5">
        <v>37.512424799999998</v>
      </c>
      <c r="E3" s="5">
        <v>39.338743299999997</v>
      </c>
      <c r="F3" s="5">
        <v>41.102808159200002</v>
      </c>
    </row>
    <row r="4" spans="1:9" ht="15" x14ac:dyDescent="0.4">
      <c r="A4" s="1" t="s">
        <v>5</v>
      </c>
      <c r="B4" s="8">
        <v>45.045389399999998</v>
      </c>
      <c r="C4" s="6">
        <v>39.233281542500002</v>
      </c>
      <c r="D4" s="6">
        <v>40.068494000000001</v>
      </c>
      <c r="E4" s="6">
        <v>44.905104600000001</v>
      </c>
      <c r="F4" s="6">
        <v>42.633314108900002</v>
      </c>
    </row>
    <row r="5" spans="1:9" ht="15" x14ac:dyDescent="0.4">
      <c r="A5" s="2" t="s">
        <v>6</v>
      </c>
      <c r="B5" s="7">
        <v>48.765651800000001</v>
      </c>
      <c r="C5" s="5">
        <v>52.8501632929</v>
      </c>
      <c r="D5" s="5">
        <v>55.3246982</v>
      </c>
      <c r="E5" s="5">
        <v>53.988786900000001</v>
      </c>
      <c r="F5" s="5">
        <v>54.4286171655</v>
      </c>
    </row>
    <row r="6" spans="1:9" ht="15" x14ac:dyDescent="0.4">
      <c r="A6" s="1" t="s">
        <v>7</v>
      </c>
      <c r="B6" s="8">
        <v>41.662388399999998</v>
      </c>
      <c r="C6" s="6">
        <v>47.336134633699999</v>
      </c>
      <c r="D6" s="6">
        <v>52.996306599999997</v>
      </c>
      <c r="E6" s="6">
        <v>47.077579800000002</v>
      </c>
      <c r="F6" s="6">
        <v>51.351746814899997</v>
      </c>
    </row>
    <row r="7" spans="1:9" ht="15" x14ac:dyDescent="0.4">
      <c r="A7" s="2" t="s">
        <v>8</v>
      </c>
      <c r="B7" s="7">
        <v>40.225017200000003</v>
      </c>
      <c r="C7" s="7">
        <v>34.248776081599999</v>
      </c>
      <c r="D7" s="7">
        <v>29.9528994</v>
      </c>
      <c r="E7" s="7">
        <v>36.337149699999998</v>
      </c>
      <c r="F7" s="7">
        <v>42.313383209400001</v>
      </c>
    </row>
    <row r="8" spans="1:9" ht="15" x14ac:dyDescent="0.4">
      <c r="A8" s="3"/>
      <c r="B8" s="4"/>
      <c r="C8" s="4"/>
      <c r="D8" s="4"/>
      <c r="E8" s="4"/>
      <c r="F8" s="4"/>
    </row>
    <row r="9" spans="1:9" x14ac:dyDescent="0.35">
      <c r="A9" t="s">
        <v>2</v>
      </c>
      <c r="B9" s="10" t="s">
        <v>29</v>
      </c>
      <c r="C9" s="10"/>
      <c r="D9" s="10"/>
      <c r="E9" s="10"/>
      <c r="F9" s="10"/>
      <c r="G9" s="10"/>
    </row>
    <row r="10" spans="1:9" ht="14.5" customHeight="1" x14ac:dyDescent="0.35">
      <c r="A10" t="s">
        <v>1</v>
      </c>
      <c r="B10" s="9" t="s">
        <v>31</v>
      </c>
      <c r="C10" s="9"/>
      <c r="D10" s="9"/>
      <c r="E10" s="9"/>
      <c r="F10" s="9"/>
      <c r="G10" s="9"/>
      <c r="H10" s="9"/>
      <c r="I10" s="9"/>
    </row>
    <row r="11" spans="1:9" x14ac:dyDescent="0.35">
      <c r="A11" t="s">
        <v>9</v>
      </c>
      <c r="B11" t="s">
        <v>30</v>
      </c>
    </row>
    <row r="12" spans="1:9" x14ac:dyDescent="0.35">
      <c r="A12" t="s">
        <v>11</v>
      </c>
      <c r="B12" t="s">
        <v>12</v>
      </c>
    </row>
    <row r="14" spans="1:9" x14ac:dyDescent="0.35">
      <c r="A14" t="s">
        <v>15</v>
      </c>
      <c r="B14" s="10" t="s">
        <v>16</v>
      </c>
      <c r="C14" s="10"/>
    </row>
  </sheetData>
  <mergeCells count="8">
    <mergeCell ref="B14:C14"/>
    <mergeCell ref="B9:G9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21EC-07EC-444E-9BBC-3001E991AC3A}">
  <dimension ref="A1:I14"/>
  <sheetViews>
    <sheetView topLeftCell="A14" workbookViewId="0">
      <selection activeCell="B11" sqref="B11"/>
    </sheetView>
  </sheetViews>
  <sheetFormatPr baseColWidth="10" defaultRowHeight="14.5" x14ac:dyDescent="0.35"/>
  <cols>
    <col min="1" max="1" width="29" customWidth="1"/>
  </cols>
  <sheetData>
    <row r="1" spans="1:9" ht="15" customHeight="1" x14ac:dyDescent="0.35">
      <c r="A1" s="13" t="s">
        <v>10</v>
      </c>
      <c r="B1" s="12">
        <v>2019</v>
      </c>
      <c r="C1" s="12">
        <v>2020</v>
      </c>
      <c r="D1" s="12">
        <v>2021</v>
      </c>
      <c r="E1" s="12">
        <v>2022</v>
      </c>
      <c r="F1" s="12">
        <v>2023</v>
      </c>
    </row>
    <row r="2" spans="1:9" x14ac:dyDescent="0.35">
      <c r="A2" s="13"/>
      <c r="B2" s="12"/>
      <c r="C2" s="12"/>
      <c r="D2" s="12"/>
      <c r="E2" s="12"/>
      <c r="F2" s="12"/>
    </row>
    <row r="3" spans="1:9" x14ac:dyDescent="0.35">
      <c r="A3" s="2" t="s">
        <v>14</v>
      </c>
      <c r="B3" s="5">
        <v>53.946342199999997</v>
      </c>
      <c r="C3" s="5">
        <v>52.8767875809</v>
      </c>
      <c r="D3" s="5">
        <v>50.737523199999998</v>
      </c>
      <c r="E3" s="5">
        <v>52.549939999999999</v>
      </c>
      <c r="F3" s="5">
        <v>53.888832299299999</v>
      </c>
    </row>
    <row r="4" spans="1:9" ht="15" x14ac:dyDescent="0.4">
      <c r="A4" s="1" t="s">
        <v>5</v>
      </c>
      <c r="B4" s="8">
        <v>47.689315499999999</v>
      </c>
      <c r="C4" s="6">
        <v>43.037888356300002</v>
      </c>
      <c r="D4" s="8">
        <v>44.472478199999998</v>
      </c>
      <c r="E4" s="6">
        <v>46.998873799999998</v>
      </c>
      <c r="F4" s="8">
        <v>48.276824746000003</v>
      </c>
    </row>
    <row r="5" spans="1:9" ht="15" x14ac:dyDescent="0.4">
      <c r="A5" s="2" t="s">
        <v>6</v>
      </c>
      <c r="B5" s="7">
        <v>65.252782699999997</v>
      </c>
      <c r="C5" s="5">
        <v>68.856368378300004</v>
      </c>
      <c r="D5" s="7">
        <v>70.954641600000002</v>
      </c>
      <c r="E5" s="5">
        <v>67.724219399999996</v>
      </c>
      <c r="F5" s="7">
        <v>67.442017150699996</v>
      </c>
    </row>
    <row r="6" spans="1:9" ht="15" x14ac:dyDescent="0.4">
      <c r="A6" s="1" t="s">
        <v>7</v>
      </c>
      <c r="B6" s="8">
        <v>49.011931099999998</v>
      </c>
      <c r="C6" s="6">
        <v>54.072461248800003</v>
      </c>
      <c r="D6" s="8">
        <v>59.248775100000003</v>
      </c>
      <c r="E6" s="6">
        <v>51.408436299999998</v>
      </c>
      <c r="F6" s="8">
        <v>55.468940731799997</v>
      </c>
    </row>
    <row r="7" spans="1:9" ht="15" x14ac:dyDescent="0.4">
      <c r="A7" s="2" t="s">
        <v>8</v>
      </c>
      <c r="B7" s="7">
        <v>46.0566101</v>
      </c>
      <c r="C7" s="7">
        <v>39.307663684399998</v>
      </c>
      <c r="D7" s="7">
        <v>34.827223400000001</v>
      </c>
      <c r="E7" s="7">
        <v>39.889468899999997</v>
      </c>
      <c r="F7" s="7">
        <v>48.268712651199998</v>
      </c>
    </row>
    <row r="8" spans="1:9" ht="15" x14ac:dyDescent="0.4">
      <c r="A8" s="3"/>
      <c r="B8" s="4"/>
      <c r="C8" s="4"/>
      <c r="D8" s="4"/>
      <c r="E8" s="4"/>
      <c r="F8" s="4"/>
    </row>
    <row r="9" spans="1:9" x14ac:dyDescent="0.35">
      <c r="A9" t="s">
        <v>2</v>
      </c>
      <c r="B9" s="10" t="s">
        <v>32</v>
      </c>
      <c r="C9" s="10"/>
      <c r="D9" s="10"/>
      <c r="E9" s="10"/>
      <c r="F9" s="10"/>
      <c r="G9" s="10"/>
      <c r="H9" s="10"/>
    </row>
    <row r="10" spans="1:9" x14ac:dyDescent="0.35">
      <c r="A10" t="s">
        <v>1</v>
      </c>
      <c r="B10" s="9" t="s">
        <v>34</v>
      </c>
      <c r="C10" s="9"/>
      <c r="D10" s="9"/>
      <c r="E10" s="9"/>
      <c r="F10" s="9"/>
      <c r="G10" s="9"/>
      <c r="H10" s="9"/>
      <c r="I10" s="9"/>
    </row>
    <row r="11" spans="1:9" x14ac:dyDescent="0.35">
      <c r="A11" t="s">
        <v>9</v>
      </c>
      <c r="B11" t="s">
        <v>33</v>
      </c>
    </row>
    <row r="12" spans="1:9" x14ac:dyDescent="0.35">
      <c r="A12" t="s">
        <v>11</v>
      </c>
      <c r="B12" t="s">
        <v>12</v>
      </c>
    </row>
    <row r="14" spans="1:9" x14ac:dyDescent="0.35">
      <c r="A14" t="s">
        <v>15</v>
      </c>
      <c r="B14" s="10" t="s">
        <v>16</v>
      </c>
      <c r="C14" s="10"/>
    </row>
  </sheetData>
  <mergeCells count="8">
    <mergeCell ref="B14:C14"/>
    <mergeCell ref="B9:H9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3386-F86C-46F1-9816-492CE81D0FD5}">
  <dimension ref="A1:I14"/>
  <sheetViews>
    <sheetView topLeftCell="A11" workbookViewId="0">
      <selection activeCell="J10" sqref="J10"/>
    </sheetView>
  </sheetViews>
  <sheetFormatPr baseColWidth="10" defaultRowHeight="14.5" x14ac:dyDescent="0.35"/>
  <cols>
    <col min="1" max="1" width="29" customWidth="1"/>
  </cols>
  <sheetData>
    <row r="1" spans="1:9" ht="15" customHeight="1" x14ac:dyDescent="0.35">
      <c r="A1" s="13" t="s">
        <v>10</v>
      </c>
      <c r="B1" s="12">
        <v>2019</v>
      </c>
      <c r="C1" s="12">
        <v>2020</v>
      </c>
      <c r="D1" s="12">
        <v>2021</v>
      </c>
      <c r="E1" s="12">
        <v>2022</v>
      </c>
      <c r="F1" s="12">
        <v>2023</v>
      </c>
    </row>
    <row r="2" spans="1:9" x14ac:dyDescent="0.35">
      <c r="A2" s="13"/>
      <c r="B2" s="12"/>
      <c r="C2" s="12"/>
      <c r="D2" s="12"/>
      <c r="E2" s="12"/>
      <c r="F2" s="12"/>
    </row>
    <row r="3" spans="1:9" x14ac:dyDescent="0.35">
      <c r="A3" s="2" t="s">
        <v>14</v>
      </c>
      <c r="B3" s="5">
        <v>7.1923295700000001</v>
      </c>
      <c r="C3" s="5">
        <v>3.6447823296999999</v>
      </c>
      <c r="D3" s="5">
        <v>3.23560727</v>
      </c>
      <c r="E3" s="5">
        <v>2.8221603399999999</v>
      </c>
      <c r="F3" s="5">
        <v>2.9488809606999999</v>
      </c>
    </row>
    <row r="4" spans="1:9" ht="15" x14ac:dyDescent="0.4">
      <c r="A4" s="1" t="s">
        <v>5</v>
      </c>
      <c r="B4" s="8">
        <v>1.97215527</v>
      </c>
      <c r="C4" s="6">
        <v>1.1848468355999999</v>
      </c>
      <c r="D4" s="8">
        <v>1.4423179500000001</v>
      </c>
      <c r="E4" s="8">
        <v>1.2347290399999999</v>
      </c>
      <c r="F4" s="8">
        <v>0.59575145959999998</v>
      </c>
    </row>
    <row r="5" spans="1:9" ht="15" x14ac:dyDescent="0.4">
      <c r="A5" s="2" t="s">
        <v>6</v>
      </c>
      <c r="B5" s="7">
        <v>3.5196013000000002</v>
      </c>
      <c r="C5" s="5">
        <v>3.7269040896000001</v>
      </c>
      <c r="D5" s="7">
        <v>4.5045359999999999</v>
      </c>
      <c r="E5" s="7">
        <v>2.7189469499999999</v>
      </c>
      <c r="F5" s="7">
        <v>5.1632091202000003</v>
      </c>
    </row>
    <row r="6" spans="1:9" ht="15" x14ac:dyDescent="0.4">
      <c r="A6" s="1" t="s">
        <v>7</v>
      </c>
      <c r="B6" s="8">
        <v>3.2254737599999999</v>
      </c>
      <c r="C6" s="6">
        <v>3.4149466838999998</v>
      </c>
      <c r="D6" s="8">
        <v>4.5025215699999999</v>
      </c>
      <c r="E6" s="8">
        <v>1.55003592</v>
      </c>
      <c r="F6" s="8">
        <v>1.8652930741</v>
      </c>
    </row>
    <row r="7" spans="1:9" ht="15" x14ac:dyDescent="0.4">
      <c r="A7" s="2" t="s">
        <v>8</v>
      </c>
      <c r="B7" s="7">
        <v>5.4637221800000004</v>
      </c>
      <c r="C7" s="7">
        <v>3.0903286377999999</v>
      </c>
      <c r="D7" s="7">
        <v>1.82446967</v>
      </c>
      <c r="E7" s="7">
        <v>1.8584469299999999</v>
      </c>
      <c r="F7" s="7">
        <v>5.9428866812000001</v>
      </c>
    </row>
    <row r="8" spans="1:9" ht="15" x14ac:dyDescent="0.4">
      <c r="A8" s="3"/>
      <c r="B8" s="4"/>
      <c r="C8" s="4"/>
      <c r="D8" s="4"/>
      <c r="E8" s="4"/>
      <c r="F8" s="4"/>
    </row>
    <row r="9" spans="1:9" x14ac:dyDescent="0.35">
      <c r="A9" t="s">
        <v>2</v>
      </c>
      <c r="B9" s="9" t="s">
        <v>35</v>
      </c>
      <c r="C9" s="9"/>
      <c r="D9" s="9"/>
      <c r="E9" s="9"/>
      <c r="F9" s="9"/>
    </row>
    <row r="10" spans="1:9" x14ac:dyDescent="0.35">
      <c r="A10" t="s">
        <v>1</v>
      </c>
      <c r="B10" s="9" t="s">
        <v>36</v>
      </c>
      <c r="C10" s="9"/>
      <c r="D10" s="9"/>
      <c r="E10" s="9"/>
      <c r="F10" s="9"/>
      <c r="G10" s="9"/>
      <c r="H10" s="9"/>
      <c r="I10" s="9"/>
    </row>
    <row r="11" spans="1:9" x14ac:dyDescent="0.35">
      <c r="A11" t="s">
        <v>9</v>
      </c>
      <c r="B11" t="s">
        <v>37</v>
      </c>
    </row>
    <row r="12" spans="1:9" x14ac:dyDescent="0.35">
      <c r="A12" t="s">
        <v>11</v>
      </c>
      <c r="B12" t="s">
        <v>12</v>
      </c>
    </row>
    <row r="14" spans="1:9" x14ac:dyDescent="0.35">
      <c r="A14" t="s">
        <v>15</v>
      </c>
      <c r="B14" s="10" t="s">
        <v>16</v>
      </c>
      <c r="C14" s="10"/>
    </row>
  </sheetData>
  <mergeCells count="7">
    <mergeCell ref="B14:C14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5837-593D-4220-B914-62449883C065}">
  <dimension ref="A1:J14"/>
  <sheetViews>
    <sheetView tabSelected="1" topLeftCell="A7" workbookViewId="0">
      <selection activeCell="B11" sqref="B11"/>
    </sheetView>
  </sheetViews>
  <sheetFormatPr baseColWidth="10" defaultRowHeight="14.5" x14ac:dyDescent="0.35"/>
  <cols>
    <col min="1" max="1" width="29" customWidth="1"/>
  </cols>
  <sheetData>
    <row r="1" spans="1:10" ht="15" customHeight="1" x14ac:dyDescent="0.35">
      <c r="A1" s="13" t="s">
        <v>10</v>
      </c>
      <c r="B1" s="12">
        <v>2019</v>
      </c>
      <c r="C1" s="12">
        <v>2020</v>
      </c>
      <c r="D1" s="12">
        <v>2021</v>
      </c>
      <c r="E1" s="12">
        <v>2022</v>
      </c>
      <c r="F1" s="12">
        <v>2023</v>
      </c>
    </row>
    <row r="2" spans="1:10" x14ac:dyDescent="0.35">
      <c r="A2" s="13"/>
      <c r="B2" s="12"/>
      <c r="C2" s="12"/>
      <c r="D2" s="12"/>
      <c r="E2" s="12"/>
      <c r="F2" s="12"/>
    </row>
    <row r="3" spans="1:10" x14ac:dyDescent="0.35">
      <c r="A3" s="2" t="s">
        <v>14</v>
      </c>
      <c r="B3" s="5">
        <v>3.4787719899999998</v>
      </c>
      <c r="C3" s="5">
        <v>3.6340843577999999</v>
      </c>
      <c r="D3" s="5">
        <v>5.5293601099999998</v>
      </c>
      <c r="E3" s="5">
        <v>2.72629828</v>
      </c>
      <c r="F3" s="5">
        <v>2.5580753230000002</v>
      </c>
    </row>
    <row r="4" spans="1:10" ht="15" x14ac:dyDescent="0.4">
      <c r="A4" s="1" t="s">
        <v>5</v>
      </c>
      <c r="B4" s="6">
        <v>1.5364878500000001</v>
      </c>
      <c r="C4" s="6">
        <v>0.20971436900000001</v>
      </c>
      <c r="D4" s="6">
        <v>1.26970216</v>
      </c>
      <c r="E4" s="8">
        <v>0.42764949699999999</v>
      </c>
      <c r="F4" s="8">
        <v>0.10569729999999999</v>
      </c>
    </row>
    <row r="5" spans="1:10" ht="15" x14ac:dyDescent="0.4">
      <c r="A5" s="2" t="s">
        <v>6</v>
      </c>
      <c r="B5" s="5">
        <v>0.49308775999999999</v>
      </c>
      <c r="C5" s="5">
        <v>0.30292587500000001</v>
      </c>
      <c r="D5" s="5">
        <v>1.48819754</v>
      </c>
      <c r="E5" s="7">
        <v>0.33693445900000002</v>
      </c>
      <c r="F5" s="7">
        <v>5.5879687300000001E-2</v>
      </c>
    </row>
    <row r="6" spans="1:10" ht="15" x14ac:dyDescent="0.4">
      <c r="A6" s="1" t="s">
        <v>7</v>
      </c>
      <c r="B6" s="6">
        <v>1.1745011999999999</v>
      </c>
      <c r="C6" s="6">
        <v>1.2387790966000001</v>
      </c>
      <c r="D6" s="6">
        <v>1.65193016</v>
      </c>
      <c r="E6" s="8">
        <v>1.7162799900000001</v>
      </c>
      <c r="F6" s="8">
        <v>1.3387859705</v>
      </c>
    </row>
    <row r="7" spans="1:10" ht="15" x14ac:dyDescent="0.4">
      <c r="A7" s="2" t="s">
        <v>8</v>
      </c>
      <c r="B7" s="7">
        <v>0.46173284999999997</v>
      </c>
      <c r="C7" s="7">
        <v>0.59001859759999997</v>
      </c>
      <c r="D7" s="7">
        <v>1.6512767100000001</v>
      </c>
      <c r="E7" s="7">
        <v>0.54013625499999995</v>
      </c>
      <c r="F7" s="7">
        <v>0.68140512760000005</v>
      </c>
    </row>
    <row r="8" spans="1:10" ht="15" x14ac:dyDescent="0.4">
      <c r="A8" s="3"/>
      <c r="B8" s="4"/>
      <c r="C8" s="4"/>
      <c r="D8" s="4"/>
      <c r="E8" s="4"/>
      <c r="F8" s="4"/>
    </row>
    <row r="9" spans="1:10" x14ac:dyDescent="0.35">
      <c r="A9" t="s">
        <v>2</v>
      </c>
      <c r="B9" s="9" t="s">
        <v>38</v>
      </c>
      <c r="C9" s="9"/>
      <c r="D9" s="9"/>
      <c r="E9" s="9"/>
      <c r="F9" s="9"/>
    </row>
    <row r="10" spans="1:10" x14ac:dyDescent="0.35">
      <c r="A10" t="s">
        <v>1</v>
      </c>
      <c r="B10" s="9" t="s">
        <v>40</v>
      </c>
      <c r="C10" s="9"/>
      <c r="D10" s="9"/>
      <c r="E10" s="9"/>
      <c r="F10" s="9"/>
      <c r="G10" s="9"/>
      <c r="H10" s="9"/>
      <c r="I10" s="9"/>
      <c r="J10" s="9"/>
    </row>
    <row r="11" spans="1:10" x14ac:dyDescent="0.35">
      <c r="A11" t="s">
        <v>9</v>
      </c>
      <c r="B11" t="s">
        <v>39</v>
      </c>
    </row>
    <row r="12" spans="1:10" x14ac:dyDescent="0.35">
      <c r="A12" t="s">
        <v>11</v>
      </c>
      <c r="B12" t="s">
        <v>12</v>
      </c>
    </row>
    <row r="14" spans="1:10" x14ac:dyDescent="0.35">
      <c r="A14" t="s">
        <v>15</v>
      </c>
      <c r="B14" s="10" t="s">
        <v>16</v>
      </c>
      <c r="C14" s="10"/>
    </row>
  </sheetData>
  <mergeCells count="7">
    <mergeCell ref="B14:C14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wilsoncoy85@gmail.com</dc:creator>
  <cp:lastModifiedBy>Rafael</cp:lastModifiedBy>
  <dcterms:created xsi:type="dcterms:W3CDTF">2024-11-27T00:00:09Z</dcterms:created>
  <dcterms:modified xsi:type="dcterms:W3CDTF">2025-11-26T20:15:32Z</dcterms:modified>
</cp:coreProperties>
</file>