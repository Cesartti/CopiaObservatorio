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SALUD\"/>
    </mc:Choice>
  </mc:AlternateContent>
  <xr:revisionPtr revIDLastSave="0" documentId="13_ncr:1_{71A3024D-5CF0-4C1E-A9FC-76FC05063D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0" sheetId="1" r:id="rId1"/>
    <sheet name="data1" sheetId="2" r:id="rId2"/>
    <sheet name="data2" sheetId="3" r:id="rId3"/>
    <sheet name="data3" sheetId="4" r:id="rId4"/>
    <sheet name="data4" sheetId="10" r:id="rId5"/>
    <sheet name="data6" sheetId="8" r:id="rId6"/>
    <sheet name="data8" sheetId="13" r:id="rId7"/>
    <sheet name="data9" sheetId="14" r:id="rId8"/>
  </sheets>
  <definedNames>
    <definedName name="_xlnm._FilterDatabase" localSheetId="2" hidden="1">data2!$A$1:$E$376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C13" i="14" l="1"/>
  <c r="D13" i="14"/>
  <c r="F12" i="14"/>
  <c r="F11" i="14"/>
  <c r="F10" i="14"/>
  <c r="F12" i="13"/>
  <c r="F11" i="13"/>
  <c r="F10" i="13"/>
  <c r="F9" i="13"/>
  <c r="F8" i="13"/>
  <c r="F7" i="13"/>
  <c r="F6" i="13"/>
  <c r="F5" i="13"/>
  <c r="F4" i="13"/>
  <c r="F3" i="13"/>
  <c r="F2" i="13"/>
  <c r="E13" i="13"/>
  <c r="D13" i="13"/>
  <c r="C13" i="13"/>
  <c r="F13" i="13" s="1"/>
  <c r="D13" i="10"/>
  <c r="E12" i="10"/>
  <c r="C13" i="10"/>
  <c r="E11" i="10"/>
  <c r="E10" i="10"/>
  <c r="I9" i="2"/>
  <c r="I13" i="2" s="1"/>
  <c r="E13" i="14"/>
  <c r="F9" i="14"/>
  <c r="F8" i="14"/>
  <c r="F7" i="14"/>
  <c r="F6" i="14"/>
  <c r="F5" i="14"/>
  <c r="F4" i="14"/>
  <c r="F3" i="14"/>
  <c r="F2" i="14"/>
  <c r="H13" i="2"/>
  <c r="G13" i="2"/>
  <c r="F13" i="2"/>
  <c r="E13" i="2"/>
  <c r="D13" i="2"/>
  <c r="C13" i="2"/>
  <c r="I8" i="2"/>
  <c r="I7" i="2"/>
  <c r="I6" i="2"/>
  <c r="I5" i="2"/>
  <c r="I4" i="2"/>
  <c r="I3" i="2"/>
  <c r="I2" i="2"/>
  <c r="E9" i="10"/>
  <c r="E8" i="10"/>
  <c r="E7" i="10"/>
  <c r="E6" i="10"/>
  <c r="E5" i="10"/>
  <c r="E4" i="10"/>
  <c r="E3" i="10"/>
  <c r="E2" i="10"/>
  <c r="F13" i="14" l="1"/>
  <c r="E1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ID#AAAAhX2S140
Andrés Torres    (2022-10-04 03:43:03)
@juan.cely04@uptc.edu.co este mapa tiene 2 categorías, como esperas que se despliegue? cual es el selector principal? supongo que el secundario se muestra en el resumen con todos sus posibles valores, correcto?
_Asignada a Juan Cely04_
------
ID#AAAAi2332Pk
Andrés Torres    (2022-10-26 02:40:08)
@juan.cely04@uptc.edu.co a espera de tu respuesta. complemento un poco: podría también tenerse 2 selectores para mostrar el cruce seleccionado, cual sería la forma deseada en este caso?
------
ID#AAAAi1FMeGc
Juan Cely04    (2022-10-26 20:24:31)
@dontor@gmail.com Es posible que al filtrar cada año se filtre el rango de edad? Seria lo ideal
_Reasignada a Andrés Torres_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ZuAAO7GJWDy4qck0CG7Mr33PS5g=="/>
    </ext>
  </extLst>
</comments>
</file>

<file path=xl/sharedStrings.xml><?xml version="1.0" encoding="utf-8"?>
<sst xmlns="http://schemas.openxmlformats.org/spreadsheetml/2006/main" count="1337" uniqueCount="236">
  <si>
    <t>Titulo:</t>
  </si>
  <si>
    <t>Etiquetas:</t>
  </si>
  <si>
    <t>Fuentes:</t>
  </si>
  <si>
    <t>Año</t>
  </si>
  <si>
    <t>Total año</t>
  </si>
  <si>
    <t>Vertical:</t>
  </si>
  <si>
    <t>Número de casos</t>
  </si>
  <si>
    <t>Horizontal:</t>
  </si>
  <si>
    <t>Sexo</t>
  </si>
  <si>
    <t>Casos</t>
  </si>
  <si>
    <t>Tipo:</t>
  </si>
  <si>
    <t>Mapa</t>
  </si>
  <si>
    <t>Título:</t>
  </si>
  <si>
    <t>Categoría:</t>
  </si>
  <si>
    <t>Descripción:</t>
  </si>
  <si>
    <t>Subcategoría:</t>
  </si>
  <si>
    <t>Gráfica de columnas</t>
  </si>
  <si>
    <t>Código</t>
  </si>
  <si>
    <t>Gráfico persona</t>
  </si>
  <si>
    <t>Género</t>
  </si>
  <si>
    <t>Total</t>
  </si>
  <si>
    <t>Mes</t>
  </si>
  <si>
    <t>Gráfico linea</t>
  </si>
  <si>
    <t>Semestre / Año</t>
  </si>
  <si>
    <t>Salud</t>
  </si>
  <si>
    <t>Morbilidad</t>
  </si>
  <si>
    <t>ODS</t>
  </si>
  <si>
    <t>Semestre</t>
  </si>
  <si>
    <t>Enero a Junio</t>
  </si>
  <si>
    <t>Julio a Diciembre</t>
  </si>
  <si>
    <t>2020 Enero</t>
  </si>
  <si>
    <t>2020 Febrero</t>
  </si>
  <si>
    <t>2020 marzo</t>
  </si>
  <si>
    <t>2020 Abril</t>
  </si>
  <si>
    <t>2020 Mayo</t>
  </si>
  <si>
    <t>2020 Junio</t>
  </si>
  <si>
    <t>2020 Julio</t>
  </si>
  <si>
    <t>2020 Agosto</t>
  </si>
  <si>
    <t>2020 Septiembre</t>
  </si>
  <si>
    <t>2020 Octubre</t>
  </si>
  <si>
    <t>2020 Noviembre</t>
  </si>
  <si>
    <t>2020 Diciembre</t>
  </si>
  <si>
    <t>2021 Enero</t>
  </si>
  <si>
    <t>2021 Febrero</t>
  </si>
  <si>
    <t>2021 marzo</t>
  </si>
  <si>
    <t>2021 Abril</t>
  </si>
  <si>
    <t>2021 Mayo</t>
  </si>
  <si>
    <t>2021 Junio</t>
  </si>
  <si>
    <t>2021 Julio</t>
  </si>
  <si>
    <t>2021 Agosto</t>
  </si>
  <si>
    <t>2021 Septiembre</t>
  </si>
  <si>
    <t>2021 Octubre</t>
  </si>
  <si>
    <t>2021 Noviembre</t>
  </si>
  <si>
    <t>2021 Diciembre</t>
  </si>
  <si>
    <t>2022 Enero</t>
  </si>
  <si>
    <t>2022 Febrero</t>
  </si>
  <si>
    <t>2022 marzo</t>
  </si>
  <si>
    <t>2022 Abril</t>
  </si>
  <si>
    <t>2022 Mayo</t>
  </si>
  <si>
    <t>2022 Junio</t>
  </si>
  <si>
    <t>2022 Julio</t>
  </si>
  <si>
    <t>2022 Agosto</t>
  </si>
  <si>
    <t>2022 Septiembre</t>
  </si>
  <si>
    <t>2022 Octubre</t>
  </si>
  <si>
    <t>2022 Noviembre</t>
  </si>
  <si>
    <t>2022 Diciembre</t>
  </si>
  <si>
    <t>2023 Enero</t>
  </si>
  <si>
    <t>2023 Febrero</t>
  </si>
  <si>
    <t>2023 marzo</t>
  </si>
  <si>
    <t>2023 Abril</t>
  </si>
  <si>
    <t>2023 Mayo</t>
  </si>
  <si>
    <t>2023 Junio</t>
  </si>
  <si>
    <t>2023 Julio</t>
  </si>
  <si>
    <t>2023 Agosto</t>
  </si>
  <si>
    <t>2023 Septiembre</t>
  </si>
  <si>
    <t>2023 Octubre</t>
  </si>
  <si>
    <t>2023 Noviembre</t>
  </si>
  <si>
    <t>2023 Diciembre</t>
  </si>
  <si>
    <t>Ciclo de vida</t>
  </si>
  <si>
    <t>Primera infancia (0 a 5 años)</t>
  </si>
  <si>
    <t>Infancia (6 a 11 años)</t>
  </si>
  <si>
    <t>Adolescencia (12 a 17 años)</t>
  </si>
  <si>
    <t>15001</t>
  </si>
  <si>
    <t>Masculino</t>
  </si>
  <si>
    <t>Femenino</t>
  </si>
  <si>
    <t>15087</t>
  </si>
  <si>
    <t>15176</t>
  </si>
  <si>
    <t>15204</t>
  </si>
  <si>
    <t>15223</t>
  </si>
  <si>
    <t>15238</t>
  </si>
  <si>
    <t>15272</t>
  </si>
  <si>
    <t>15293</t>
  </si>
  <si>
    <t>15299</t>
  </si>
  <si>
    <t>15407</t>
  </si>
  <si>
    <t>15455</t>
  </si>
  <si>
    <t>15491</t>
  </si>
  <si>
    <t>15516</t>
  </si>
  <si>
    <t>15572</t>
  </si>
  <si>
    <t>15646</t>
  </si>
  <si>
    <t>15759</t>
  </si>
  <si>
    <t>15790</t>
  </si>
  <si>
    <t>15837</t>
  </si>
  <si>
    <t>15842</t>
  </si>
  <si>
    <t>15861</t>
  </si>
  <si>
    <t>Número de casos de Tuberculosis en Boyacá</t>
  </si>
  <si>
    <t>Adultez (29 a 59 años)</t>
  </si>
  <si>
    <t>Juventud (18 a 28 años)</t>
  </si>
  <si>
    <t>Vejez (&gt;= 60 años)</t>
  </si>
  <si>
    <t>Tipo Tuberculosis</t>
  </si>
  <si>
    <t>Extra Pulmonar</t>
  </si>
  <si>
    <t>Hombre</t>
  </si>
  <si>
    <t>Pulmonar</t>
  </si>
  <si>
    <t xml:space="preserve">Mujer </t>
  </si>
  <si>
    <t>15022</t>
  </si>
  <si>
    <t>15047</t>
  </si>
  <si>
    <t>15051</t>
  </si>
  <si>
    <t>15090</t>
  </si>
  <si>
    <t>15097</t>
  </si>
  <si>
    <t>15109</t>
  </si>
  <si>
    <t>15114</t>
  </si>
  <si>
    <t>15162</t>
  </si>
  <si>
    <t>15180</t>
  </si>
  <si>
    <t>15185</t>
  </si>
  <si>
    <t>15187</t>
  </si>
  <si>
    <t>15212</t>
  </si>
  <si>
    <t>15215</t>
  </si>
  <si>
    <t>15232</t>
  </si>
  <si>
    <t>15236</t>
  </si>
  <si>
    <t>15322</t>
  </si>
  <si>
    <t>15325</t>
  </si>
  <si>
    <t>15332</t>
  </si>
  <si>
    <t>15367</t>
  </si>
  <si>
    <t>15377</t>
  </si>
  <si>
    <t>15380</t>
  </si>
  <si>
    <t>15401</t>
  </si>
  <si>
    <t>15403</t>
  </si>
  <si>
    <t>15425</t>
  </si>
  <si>
    <t>15442</t>
  </si>
  <si>
    <t>15466</t>
  </si>
  <si>
    <t>15469</t>
  </si>
  <si>
    <t>15476</t>
  </si>
  <si>
    <t>15480</t>
  </si>
  <si>
    <t>15494</t>
  </si>
  <si>
    <t>15500</t>
  </si>
  <si>
    <t>15507</t>
  </si>
  <si>
    <t>15514</t>
  </si>
  <si>
    <t>15518</t>
  </si>
  <si>
    <t>15522</t>
  </si>
  <si>
    <t>15531</t>
  </si>
  <si>
    <t>15542</t>
  </si>
  <si>
    <t>15580</t>
  </si>
  <si>
    <t>15599</t>
  </si>
  <si>
    <t>15600</t>
  </si>
  <si>
    <t>15667</t>
  </si>
  <si>
    <t>15673</t>
  </si>
  <si>
    <t>15681</t>
  </si>
  <si>
    <t>15686</t>
  </si>
  <si>
    <t>15690</t>
  </si>
  <si>
    <t>15693</t>
  </si>
  <si>
    <t>15696</t>
  </si>
  <si>
    <t>15723</t>
  </si>
  <si>
    <t>15740</t>
  </si>
  <si>
    <t>15755</t>
  </si>
  <si>
    <t>15757</t>
  </si>
  <si>
    <t>15761</t>
  </si>
  <si>
    <t>15762</t>
  </si>
  <si>
    <t>15763</t>
  </si>
  <si>
    <t>15764</t>
  </si>
  <si>
    <t>15778</t>
  </si>
  <si>
    <t>15798</t>
  </si>
  <si>
    <t>15804</t>
  </si>
  <si>
    <t>15806</t>
  </si>
  <si>
    <t>15808</t>
  </si>
  <si>
    <t>15810</t>
  </si>
  <si>
    <t>15814</t>
  </si>
  <si>
    <t>15820</t>
  </si>
  <si>
    <t>15835</t>
  </si>
  <si>
    <t>15879</t>
  </si>
  <si>
    <t>15897</t>
  </si>
  <si>
    <t>Número de casos de Tuberculosis en cada municipio</t>
  </si>
  <si>
    <t>Número de casos de Tuberculosis por sexo, tipo de tuberculosis y municipio</t>
  </si>
  <si>
    <t>Número total de casos de Tuberculosis distribuídos por Sexo</t>
  </si>
  <si>
    <t xml:space="preserve">Número de casos de Tuberculosis por tipo </t>
  </si>
  <si>
    <t>Número de casos por año y mes de Tuberculosis</t>
  </si>
  <si>
    <t>Se presenta el número de casos por año y mes de Tuberculosis</t>
  </si>
  <si>
    <t>NO</t>
  </si>
  <si>
    <t>SI</t>
  </si>
  <si>
    <t>Número de casos de Tuberculosis por Discapacidad</t>
  </si>
  <si>
    <t>Indígena</t>
  </si>
  <si>
    <t>Otro</t>
  </si>
  <si>
    <t>Rom, Gitano</t>
  </si>
  <si>
    <t>Número de casos de Tuberculosis por Etnia</t>
  </si>
  <si>
    <t>Etnia</t>
  </si>
  <si>
    <t>Número de casos de Tuberculosis del 2020 a junio 2025</t>
  </si>
  <si>
    <t>Secretaría de Salud Departamental</t>
  </si>
  <si>
    <t>No reporta edad</t>
  </si>
  <si>
    <t>La gráfica muestra el número de casos de Tuberculosis por ciclo de vida desde el año 2020 hasta junio 2025</t>
  </si>
  <si>
    <t>Número de casos de Tuberculosis por ciclo de vida 2020 a junio 2025</t>
  </si>
  <si>
    <t>Se presenta la sumatoria total de casos de Tuberculosis distribuidos por sexo durante el período 2020 a junio 2025</t>
  </si>
  <si>
    <t>La gráfica muestra el número de casos de Tuberculosis clasificados por Tipo desde el 2020 hasta junio 2025</t>
  </si>
  <si>
    <t>2024 Enero</t>
  </si>
  <si>
    <t>2024 Febrero</t>
  </si>
  <si>
    <t>2024 marzo</t>
  </si>
  <si>
    <t>2024 Abril</t>
  </si>
  <si>
    <t>2024 Mayo</t>
  </si>
  <si>
    <t>2024 Junio</t>
  </si>
  <si>
    <t>2024 Julio</t>
  </si>
  <si>
    <t>2024 Agosto</t>
  </si>
  <si>
    <t>2024 Septiembre</t>
  </si>
  <si>
    <t>2024 Octubre</t>
  </si>
  <si>
    <t>2024 Noviembre</t>
  </si>
  <si>
    <t>2024 Diciembre</t>
  </si>
  <si>
    <t>2025 Enero</t>
  </si>
  <si>
    <t>2025 Febrero</t>
  </si>
  <si>
    <t>2025 marzo</t>
  </si>
  <si>
    <t>2025 Abril</t>
  </si>
  <si>
    <t>2025 Mayo</t>
  </si>
  <si>
    <t>2025 Junio</t>
  </si>
  <si>
    <t>NO REPORTA</t>
  </si>
  <si>
    <t>La gráfica muestra el número de casos de Tuberculosis clasificados por discapacidad desde el 2020 hasta junio 2025</t>
  </si>
  <si>
    <t>Número casos</t>
  </si>
  <si>
    <t>La gráfica muestra el número de casos de Tuberculosis clasificados por Etnia desde el 2020 hasta junio 2025</t>
  </si>
  <si>
    <t xml:space="preserve">Pulmonar </t>
  </si>
  <si>
    <t>05129</t>
  </si>
  <si>
    <t xml:space="preserve">Extra Pulmonar </t>
  </si>
  <si>
    <t>15104</t>
  </si>
  <si>
    <t>15189</t>
  </si>
  <si>
    <t>15218</t>
  </si>
  <si>
    <t>15224</t>
  </si>
  <si>
    <t>15244</t>
  </si>
  <si>
    <t>15632</t>
  </si>
  <si>
    <t>15638</t>
  </si>
  <si>
    <t>15753</t>
  </si>
  <si>
    <t>15774</t>
  </si>
  <si>
    <t>15816</t>
  </si>
  <si>
    <t>15822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</si>
</sst>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Helvetica Neue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4" fillId="0" borderId="1" xfId="0" applyFont="1" applyBorder="1"/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8" fillId="0" borderId="0" xfId="0" applyFont="1"/>
    <xf numFmtId="0" fontId="3" fillId="0" borderId="2" xfId="0" applyFont="1" applyBorder="1"/>
    <xf numFmtId="0" fontId="7" fillId="0" borderId="2" xfId="0" applyFont="1" applyBorder="1" applyAlignment="1">
      <alignment horizontal="right"/>
    </xf>
    <xf numFmtId="0" fontId="0" fillId="0" borderId="2" xfId="0" applyBorder="1"/>
    <xf numFmtId="0" fontId="3" fillId="0" borderId="2" xfId="0" applyFont="1" applyBorder="1" applyAlignment="1">
      <alignment horizontal="right"/>
    </xf>
    <xf numFmtId="0" fontId="7" fillId="0" borderId="2" xfId="0" applyFont="1" applyBorder="1" applyAlignment="1">
      <alignment horizontal="left"/>
    </xf>
    <xf numFmtId="0" fontId="8" fillId="2" borderId="3" xfId="0" applyFont="1" applyFill="1" applyBorder="1"/>
    <xf numFmtId="0" fontId="0" fillId="0" borderId="0" xfId="0" applyAlignment="1">
      <alignment horizontal="left"/>
    </xf>
    <xf numFmtId="0" fontId="8" fillId="2" borderId="4" xfId="0" applyFont="1" applyFill="1" applyBorder="1"/>
    <xf numFmtId="0" fontId="8" fillId="2" borderId="2" xfId="0" applyFont="1" applyFill="1" applyBorder="1"/>
    <xf numFmtId="0" fontId="9" fillId="0" borderId="0" xfId="0" applyFont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8" fillId="2" borderId="0" xfId="0" applyFont="1" applyFill="1" applyBorder="1"/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DE CASOS DE TUBERCULOSIS </a:t>
            </a:r>
            <a:r>
              <a:rPr lang="es-CO" b="1" baseline="0"/>
              <a:t>POR CICLO DE VIDA</a:t>
            </a:r>
          </a:p>
          <a:p>
            <a:pPr>
              <a:defRPr/>
            </a:pPr>
            <a:r>
              <a:rPr lang="es-CO" sz="1000" b="1" baseline="0"/>
              <a:t>enero 2020 a enero 2025</a:t>
            </a:r>
          </a:p>
        </c:rich>
      </c:tx>
      <c:layout>
        <c:manualLayout>
          <c:xMode val="edge"/>
          <c:yMode val="edge"/>
          <c:x val="0.11253627252554319"/>
          <c:y val="3.0004683802018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16329853381390511"/>
          <c:w val="0.88243228701382603"/>
          <c:h val="0.51771191841561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Primera infancia (0 a 5 años)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data1!$C$2:$C$12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ser>
          <c:idx val="1"/>
          <c:order val="1"/>
          <c:tx>
            <c:strRef>
              <c:f>data1!$D$1</c:f>
              <c:strCache>
                <c:ptCount val="1"/>
                <c:pt idx="0">
                  <c:v>Infancia (6 a 11 años)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data1!$D$2:$D$12</c:f>
              <c:numCache>
                <c:formatCode>General</c:formatCode>
                <c:ptCount val="11"/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9E-41A6-AB4D-FE68D083C1A7}"/>
            </c:ext>
          </c:extLst>
        </c:ser>
        <c:ser>
          <c:idx val="2"/>
          <c:order val="2"/>
          <c:tx>
            <c:strRef>
              <c:f>data1!$E$1</c:f>
              <c:strCache>
                <c:ptCount val="1"/>
                <c:pt idx="0">
                  <c:v>Adolescencia (12 a 17 años)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data1!$E$2:$E$12</c:f>
              <c:numCache>
                <c:formatCode>General</c:formatCode>
                <c:ptCount val="11"/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E-41A6-AB4D-FE68D083C1A7}"/>
            </c:ext>
          </c:extLst>
        </c:ser>
        <c:ser>
          <c:idx val="3"/>
          <c:order val="3"/>
          <c:tx>
            <c:strRef>
              <c:f>data1!$F$1</c:f>
              <c:strCache>
                <c:ptCount val="1"/>
                <c:pt idx="0">
                  <c:v>Juventud (18 a 28 años)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data1!$F$2:$F$12</c:f>
              <c:numCache>
                <c:formatCode>General</c:formatCode>
                <c:ptCount val="11"/>
                <c:pt idx="0">
                  <c:v>8</c:v>
                </c:pt>
                <c:pt idx="1">
                  <c:v>2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12</c:v>
                </c:pt>
                <c:pt idx="6">
                  <c:v>8</c:v>
                </c:pt>
                <c:pt idx="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0B-49E2-9184-4A018BF4FE4B}"/>
            </c:ext>
          </c:extLst>
        </c:ser>
        <c:ser>
          <c:idx val="4"/>
          <c:order val="4"/>
          <c:tx>
            <c:strRef>
              <c:f>data1!$G$1</c:f>
              <c:strCache>
                <c:ptCount val="1"/>
                <c:pt idx="0">
                  <c:v>Adultez (29 a 59 años)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data1!$G$2:$G$12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14</c:v>
                </c:pt>
                <c:pt idx="3">
                  <c:v>28</c:v>
                </c:pt>
                <c:pt idx="4">
                  <c:v>27</c:v>
                </c:pt>
                <c:pt idx="5">
                  <c:v>26</c:v>
                </c:pt>
                <c:pt idx="6">
                  <c:v>33</c:v>
                </c:pt>
                <c:pt idx="7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0B-49E2-9184-4A018BF4FE4B}"/>
            </c:ext>
          </c:extLst>
        </c:ser>
        <c:ser>
          <c:idx val="5"/>
          <c:order val="5"/>
          <c:tx>
            <c:strRef>
              <c:f>data1!$H$1</c:f>
              <c:strCache>
                <c:ptCount val="1"/>
                <c:pt idx="0">
                  <c:v>Vejez (&gt;= 60 años)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data1!$H$2:$H$12</c:f>
              <c:numCache>
                <c:formatCode>General</c:formatCode>
                <c:ptCount val="11"/>
                <c:pt idx="0">
                  <c:v>26</c:v>
                </c:pt>
                <c:pt idx="1">
                  <c:v>16</c:v>
                </c:pt>
                <c:pt idx="2">
                  <c:v>19</c:v>
                </c:pt>
                <c:pt idx="3">
                  <c:v>42</c:v>
                </c:pt>
                <c:pt idx="4">
                  <c:v>41</c:v>
                </c:pt>
                <c:pt idx="5">
                  <c:v>53</c:v>
                </c:pt>
                <c:pt idx="6">
                  <c:v>36</c:v>
                </c:pt>
                <c:pt idx="7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0B-49E2-9184-4A018BF4FE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4103145971820834"/>
              <c:y val="0.85803148011097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Número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006076671425263E-2"/>
          <c:y val="0.91795549974631863"/>
          <c:w val="0.94599392332857479"/>
          <c:h val="8.2044500253681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NÚMERO</a:t>
            </a:r>
            <a:r>
              <a:rPr lang="en-US" sz="1400" b="1" baseline="0"/>
              <a:t> TOTAL DE CASOS DE TUBERCULOSIS POR SEXO </a:t>
            </a:r>
          </a:p>
          <a:p>
            <a:pPr>
              <a:defRPr/>
            </a:pPr>
            <a:r>
              <a:rPr lang="en-US" sz="1400" b="1" baseline="0"/>
              <a:t>2020 a junio 2025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data3!$B$1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FD-4EC8-A7DC-40FA36C175B0}"/>
              </c:ext>
            </c:extLst>
          </c:dPt>
          <c:dPt>
            <c:idx val="1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FD-4EC8-A7DC-40FA36C17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data3!$A$2:$A$3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data3!$B$2:$B$3</c:f>
              <c:numCache>
                <c:formatCode>General</c:formatCode>
                <c:ptCount val="2"/>
                <c:pt idx="0">
                  <c:v>282</c:v>
                </c:pt>
                <c:pt idx="1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C8-A7DC-40FA36C1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Sexo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="1"/>
              <a:t>NÚMERO DE CASOS DE TUBERCULOSIS</a:t>
            </a:r>
            <a:r>
              <a:rPr lang="es-CO" sz="1200" b="1" baseline="0"/>
              <a:t> POR TIPO </a:t>
            </a:r>
          </a:p>
          <a:p>
            <a:pPr>
              <a:defRPr/>
            </a:pPr>
            <a:r>
              <a:rPr lang="es-CO" sz="1000" b="1" baseline="0"/>
              <a:t>enero 2020 a junio 2025</a:t>
            </a:r>
          </a:p>
        </c:rich>
      </c:tx>
      <c:layout>
        <c:manualLayout>
          <c:xMode val="edge"/>
          <c:yMode val="edge"/>
          <c:x val="0.31661551096342078"/>
          <c:y val="3.01220794267201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16329853381390511"/>
          <c:w val="0.88243228701382603"/>
          <c:h val="0.51771191841561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data4!$C$1</c:f>
              <c:strCache>
                <c:ptCount val="1"/>
                <c:pt idx="0">
                  <c:v>Extra Pulmonar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3010344808334754E-17"/>
                  <c:y val="3.1793338294262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AA-4D74-9F22-21F8FBF15AB5}"/>
                </c:ext>
              </c:extLst>
            </c:dLbl>
            <c:dLbl>
              <c:idx val="2"/>
              <c:layout>
                <c:manualLayout>
                  <c:x val="0"/>
                  <c:y val="2.78191710074795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AA-4D74-9F22-21F8FBF15AB5}"/>
                </c:ext>
              </c:extLst>
            </c:dLbl>
            <c:dLbl>
              <c:idx val="3"/>
              <c:layout>
                <c:manualLayout>
                  <c:x val="0"/>
                  <c:y val="1.9870836433913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AA-4D74-9F22-21F8FBF15AB5}"/>
                </c:ext>
              </c:extLst>
            </c:dLbl>
            <c:dLbl>
              <c:idx val="4"/>
              <c:layout>
                <c:manualLayout>
                  <c:x val="-5.4017551876344326E-3"/>
                  <c:y val="2.38450037206967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AA-4D74-9F22-21F8FBF15A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2023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data4!$C$2:$C$12</c:f>
              <c:numCache>
                <c:formatCode>General</c:formatCode>
                <c:ptCount val="11"/>
                <c:pt idx="0">
                  <c:v>7</c:v>
                </c:pt>
                <c:pt idx="1">
                  <c:v>3</c:v>
                </c:pt>
                <c:pt idx="2">
                  <c:v>12</c:v>
                </c:pt>
                <c:pt idx="3">
                  <c:v>8</c:v>
                </c:pt>
                <c:pt idx="4">
                  <c:v>11</c:v>
                </c:pt>
                <c:pt idx="5">
                  <c:v>13</c:v>
                </c:pt>
                <c:pt idx="6">
                  <c:v>9</c:v>
                </c:pt>
                <c:pt idx="7">
                  <c:v>8</c:v>
                </c:pt>
                <c:pt idx="8">
                  <c:v>23</c:v>
                </c:pt>
                <c:pt idx="9">
                  <c:v>13</c:v>
                </c:pt>
                <c:pt idx="1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AA-4D74-9F22-21F8FBF15AB5}"/>
            </c:ext>
          </c:extLst>
        </c:ser>
        <c:ser>
          <c:idx val="1"/>
          <c:order val="1"/>
          <c:tx>
            <c:strRef>
              <c:f>data4!$D$1</c:f>
              <c:strCache>
                <c:ptCount val="1"/>
                <c:pt idx="0">
                  <c:v>Pulmonar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2023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data4!$D$2:$D$12</c:f>
              <c:numCache>
                <c:formatCode>General</c:formatCode>
                <c:ptCount val="11"/>
                <c:pt idx="0">
                  <c:v>44</c:v>
                </c:pt>
                <c:pt idx="1">
                  <c:v>34</c:v>
                </c:pt>
                <c:pt idx="2">
                  <c:v>30</c:v>
                </c:pt>
                <c:pt idx="3">
                  <c:v>72</c:v>
                </c:pt>
                <c:pt idx="4">
                  <c:v>64</c:v>
                </c:pt>
                <c:pt idx="5">
                  <c:v>80</c:v>
                </c:pt>
                <c:pt idx="6">
                  <c:v>71</c:v>
                </c:pt>
                <c:pt idx="7">
                  <c:v>101</c:v>
                </c:pt>
                <c:pt idx="8">
                  <c:v>85</c:v>
                </c:pt>
                <c:pt idx="9">
                  <c:v>85</c:v>
                </c:pt>
                <c:pt idx="10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AA-4D74-9F22-21F8FBF15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3225955326487575"/>
              <c:y val="0.850530309160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12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Tipo de Tuberculosis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9466838849860232E-2"/>
          <c:y val="0.89920257237005696"/>
          <c:w val="0.89999994742771705"/>
          <c:h val="6.3291572877419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</a:t>
            </a:r>
            <a:r>
              <a:rPr lang="es-CO" b="1" baseline="0"/>
              <a:t>DE CASOS DE TUBERCULOSIS DESDE ENERO 2020 A DICIEMBRE 2023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data6!$A$1:$AV$1</c:f>
              <c:strCache>
                <c:ptCount val="48"/>
                <c:pt idx="0">
                  <c:v>2020 Enero</c:v>
                </c:pt>
                <c:pt idx="1">
                  <c:v>2020 Febrero</c:v>
                </c:pt>
                <c:pt idx="2">
                  <c:v>2020 marzo</c:v>
                </c:pt>
                <c:pt idx="3">
                  <c:v>2020 Abril</c:v>
                </c:pt>
                <c:pt idx="4">
                  <c:v>2020 Mayo</c:v>
                </c:pt>
                <c:pt idx="5">
                  <c:v>2020 Junio</c:v>
                </c:pt>
                <c:pt idx="6">
                  <c:v>2020 Julio</c:v>
                </c:pt>
                <c:pt idx="7">
                  <c:v>2020 Agosto</c:v>
                </c:pt>
                <c:pt idx="8">
                  <c:v>2020 Septiembre</c:v>
                </c:pt>
                <c:pt idx="9">
                  <c:v>2020 Octubre</c:v>
                </c:pt>
                <c:pt idx="10">
                  <c:v>2020 Noviembre</c:v>
                </c:pt>
                <c:pt idx="11">
                  <c:v>2020 Diciembre</c:v>
                </c:pt>
                <c:pt idx="12">
                  <c:v>2021 Enero</c:v>
                </c:pt>
                <c:pt idx="13">
                  <c:v>2021 Febrero</c:v>
                </c:pt>
                <c:pt idx="14">
                  <c:v>2021 marzo</c:v>
                </c:pt>
                <c:pt idx="15">
                  <c:v>2021 Abril</c:v>
                </c:pt>
                <c:pt idx="16">
                  <c:v>2021 Mayo</c:v>
                </c:pt>
                <c:pt idx="17">
                  <c:v>2021 Junio</c:v>
                </c:pt>
                <c:pt idx="18">
                  <c:v>2021 Julio</c:v>
                </c:pt>
                <c:pt idx="19">
                  <c:v>2021 Agosto</c:v>
                </c:pt>
                <c:pt idx="20">
                  <c:v>2021 Septiembre</c:v>
                </c:pt>
                <c:pt idx="21">
                  <c:v>2021 Octubre</c:v>
                </c:pt>
                <c:pt idx="22">
                  <c:v>2021 Noviembre</c:v>
                </c:pt>
                <c:pt idx="23">
                  <c:v>2021 Diciembre</c:v>
                </c:pt>
                <c:pt idx="24">
                  <c:v>2022 Enero</c:v>
                </c:pt>
                <c:pt idx="25">
                  <c:v>2022 Febrero</c:v>
                </c:pt>
                <c:pt idx="26">
                  <c:v>2022 marzo</c:v>
                </c:pt>
                <c:pt idx="27">
                  <c:v>2022 Abril</c:v>
                </c:pt>
                <c:pt idx="28">
                  <c:v>2022 Mayo</c:v>
                </c:pt>
                <c:pt idx="29">
                  <c:v>2022 Junio</c:v>
                </c:pt>
                <c:pt idx="30">
                  <c:v>2022 Julio</c:v>
                </c:pt>
                <c:pt idx="31">
                  <c:v>2022 Agosto</c:v>
                </c:pt>
                <c:pt idx="32">
                  <c:v>2022 Septiembre</c:v>
                </c:pt>
                <c:pt idx="33">
                  <c:v>2022 Octubre</c:v>
                </c:pt>
                <c:pt idx="34">
                  <c:v>2022 Noviembre</c:v>
                </c:pt>
                <c:pt idx="35">
                  <c:v>2022 Diciembre</c:v>
                </c:pt>
                <c:pt idx="36">
                  <c:v>2023 Enero</c:v>
                </c:pt>
                <c:pt idx="37">
                  <c:v>2023 Febrero</c:v>
                </c:pt>
                <c:pt idx="38">
                  <c:v>2023 marzo</c:v>
                </c:pt>
                <c:pt idx="39">
                  <c:v>2023 Abril</c:v>
                </c:pt>
                <c:pt idx="40">
                  <c:v>2023 Mayo</c:v>
                </c:pt>
                <c:pt idx="41">
                  <c:v>2023 Junio</c:v>
                </c:pt>
                <c:pt idx="42">
                  <c:v>2023 Julio</c:v>
                </c:pt>
                <c:pt idx="43">
                  <c:v>2023 Agosto</c:v>
                </c:pt>
                <c:pt idx="44">
                  <c:v>2023 Septiembre</c:v>
                </c:pt>
                <c:pt idx="45">
                  <c:v>2023 Octubre</c:v>
                </c:pt>
                <c:pt idx="46">
                  <c:v>2023 Noviembre</c:v>
                </c:pt>
                <c:pt idx="47">
                  <c:v>2023 Diciembre</c:v>
                </c:pt>
              </c:strCache>
            </c:strRef>
          </c:cat>
          <c:val>
            <c:numRef>
              <c:f>data6!$A$2:$AV$2</c:f>
              <c:numCache>
                <c:formatCode>General</c:formatCode>
                <c:ptCount val="48"/>
                <c:pt idx="0">
                  <c:v>7</c:v>
                </c:pt>
                <c:pt idx="1">
                  <c:v>9</c:v>
                </c:pt>
                <c:pt idx="2">
                  <c:v>13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1</c:v>
                </c:pt>
                <c:pt idx="12">
                  <c:v>7</c:v>
                </c:pt>
                <c:pt idx="13">
                  <c:v>10</c:v>
                </c:pt>
                <c:pt idx="14">
                  <c:v>8</c:v>
                </c:pt>
                <c:pt idx="15">
                  <c:v>4</c:v>
                </c:pt>
                <c:pt idx="16">
                  <c:v>8</c:v>
                </c:pt>
                <c:pt idx="17">
                  <c:v>5</c:v>
                </c:pt>
                <c:pt idx="18">
                  <c:v>12</c:v>
                </c:pt>
                <c:pt idx="19">
                  <c:v>14</c:v>
                </c:pt>
                <c:pt idx="20">
                  <c:v>15</c:v>
                </c:pt>
                <c:pt idx="21">
                  <c:v>13</c:v>
                </c:pt>
                <c:pt idx="22">
                  <c:v>14</c:v>
                </c:pt>
                <c:pt idx="23">
                  <c:v>12</c:v>
                </c:pt>
                <c:pt idx="24">
                  <c:v>12</c:v>
                </c:pt>
                <c:pt idx="25">
                  <c:v>10</c:v>
                </c:pt>
                <c:pt idx="26">
                  <c:v>17</c:v>
                </c:pt>
                <c:pt idx="27">
                  <c:v>11</c:v>
                </c:pt>
                <c:pt idx="28">
                  <c:v>16</c:v>
                </c:pt>
                <c:pt idx="29">
                  <c:v>9</c:v>
                </c:pt>
                <c:pt idx="30">
                  <c:v>15</c:v>
                </c:pt>
                <c:pt idx="31">
                  <c:v>20</c:v>
                </c:pt>
                <c:pt idx="32">
                  <c:v>9</c:v>
                </c:pt>
                <c:pt idx="33">
                  <c:v>20</c:v>
                </c:pt>
                <c:pt idx="34">
                  <c:v>13</c:v>
                </c:pt>
                <c:pt idx="35">
                  <c:v>16</c:v>
                </c:pt>
                <c:pt idx="36">
                  <c:v>15</c:v>
                </c:pt>
                <c:pt idx="37">
                  <c:v>13</c:v>
                </c:pt>
                <c:pt idx="38">
                  <c:v>11</c:v>
                </c:pt>
                <c:pt idx="39">
                  <c:v>13</c:v>
                </c:pt>
                <c:pt idx="40">
                  <c:v>13</c:v>
                </c:pt>
                <c:pt idx="41">
                  <c:v>15</c:v>
                </c:pt>
                <c:pt idx="42">
                  <c:v>14</c:v>
                </c:pt>
                <c:pt idx="43">
                  <c:v>15</c:v>
                </c:pt>
                <c:pt idx="44">
                  <c:v>20</c:v>
                </c:pt>
                <c:pt idx="45">
                  <c:v>16</c:v>
                </c:pt>
                <c:pt idx="46">
                  <c:v>21</c:v>
                </c:pt>
                <c:pt idx="4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8-4816-BEA5-A7A04118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64528"/>
        <c:axId val="50531488"/>
      </c:line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 / 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  <c:max val="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="1"/>
              <a:t>NÚMERO DE CASOS DE TUBERCULOSIS</a:t>
            </a:r>
            <a:r>
              <a:rPr lang="es-CO" sz="1200" b="1" baseline="0"/>
              <a:t> POR DISCAPACIDAD</a:t>
            </a:r>
          </a:p>
          <a:p>
            <a:pPr>
              <a:defRPr/>
            </a:pPr>
            <a:r>
              <a:rPr lang="es-CO" sz="1000" b="1" baseline="0"/>
              <a:t>enero 2020 a junio 2025</a:t>
            </a:r>
          </a:p>
        </c:rich>
      </c:tx>
      <c:layout>
        <c:manualLayout>
          <c:xMode val="edge"/>
          <c:yMode val="edge"/>
          <c:x val="0.31661551096342078"/>
          <c:y val="3.01220794267201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16329853381390511"/>
          <c:w val="0.88243228701382603"/>
          <c:h val="0.51771191841561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data8!$C$1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3010344808334754E-17"/>
                  <c:y val="3.1793338294262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6B-4B94-9FB8-BFC07199157E}"/>
                </c:ext>
              </c:extLst>
            </c:dLbl>
            <c:dLbl>
              <c:idx val="2"/>
              <c:layout>
                <c:manualLayout>
                  <c:x val="0"/>
                  <c:y val="2.78191710074795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6B-4B94-9FB8-BFC07199157E}"/>
                </c:ext>
              </c:extLst>
            </c:dLbl>
            <c:dLbl>
              <c:idx val="3"/>
              <c:layout>
                <c:manualLayout>
                  <c:x val="0"/>
                  <c:y val="1.9870836433913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6B-4B94-9FB8-BFC07199157E}"/>
                </c:ext>
              </c:extLst>
            </c:dLbl>
            <c:dLbl>
              <c:idx val="4"/>
              <c:layout>
                <c:manualLayout>
                  <c:x val="-5.4017551876344326E-3"/>
                  <c:y val="2.38450037206967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6B-4B94-9FB8-BFC0719915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data8!$A$2:$B$12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data8!$C$2:$C$12</c:f>
              <c:numCache>
                <c:formatCode>General</c:formatCode>
                <c:ptCount val="11"/>
                <c:pt idx="0">
                  <c:v>50</c:v>
                </c:pt>
                <c:pt idx="1">
                  <c:v>37</c:v>
                </c:pt>
                <c:pt idx="2">
                  <c:v>42</c:v>
                </c:pt>
                <c:pt idx="3">
                  <c:v>77</c:v>
                </c:pt>
                <c:pt idx="4">
                  <c:v>74</c:v>
                </c:pt>
                <c:pt idx="5">
                  <c:v>92</c:v>
                </c:pt>
                <c:pt idx="6">
                  <c:v>79</c:v>
                </c:pt>
                <c:pt idx="7">
                  <c:v>107</c:v>
                </c:pt>
                <c:pt idx="8">
                  <c:v>107</c:v>
                </c:pt>
                <c:pt idx="9">
                  <c:v>97</c:v>
                </c:pt>
                <c:pt idx="10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6B-4B94-9FB8-BFC07199157E}"/>
            </c:ext>
          </c:extLst>
        </c:ser>
        <c:ser>
          <c:idx val="1"/>
          <c:order val="1"/>
          <c:tx>
            <c:strRef>
              <c:f>data8!$D$1</c:f>
              <c:strCache>
                <c:ptCount val="1"/>
                <c:pt idx="0">
                  <c:v>SI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data8!$A$2:$B$12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data8!$D$2:$D$12</c:f>
              <c:numCache>
                <c:formatCode>General</c:formatCode>
                <c:ptCount val="11"/>
                <c:pt idx="0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6B-4B94-9FB8-BFC07199157E}"/>
            </c:ext>
          </c:extLst>
        </c:ser>
        <c:ser>
          <c:idx val="2"/>
          <c:order val="2"/>
          <c:tx>
            <c:strRef>
              <c:f>data8!$E$1</c:f>
              <c:strCache>
                <c:ptCount val="1"/>
                <c:pt idx="0">
                  <c:v>NO REPORTA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data8!$A$2:$B$12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data8!$E$2:$E$12</c:f>
              <c:numCache>
                <c:formatCode>General</c:formatCode>
                <c:ptCount val="11"/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30-415F-8967-19EDC57B6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3225955326487575"/>
              <c:y val="0.850530309160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12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Número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9466838849860232E-2"/>
          <c:y val="0.89920257237005696"/>
          <c:w val="0.19286339913519313"/>
          <c:h val="6.13083310090326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="1"/>
              <a:t>NÚMERO DE CASOS DE TUBERCULOSIS</a:t>
            </a:r>
            <a:r>
              <a:rPr lang="es-CO" sz="1200" b="1" baseline="0"/>
              <a:t> POR ETNIA</a:t>
            </a:r>
          </a:p>
          <a:p>
            <a:pPr>
              <a:defRPr/>
            </a:pPr>
            <a:r>
              <a:rPr lang="es-CO" sz="1000" b="1" baseline="0"/>
              <a:t>enero 2020 a junio 2025</a:t>
            </a:r>
          </a:p>
          <a:p>
            <a:pPr>
              <a:defRPr/>
            </a:pPr>
            <a:endParaRPr lang="es-CO" sz="1000" b="1" baseline="0"/>
          </a:p>
        </c:rich>
      </c:tx>
      <c:layout>
        <c:manualLayout>
          <c:xMode val="edge"/>
          <c:yMode val="edge"/>
          <c:x val="0.31661551096342078"/>
          <c:y val="3.01220794267201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16329853381390511"/>
          <c:w val="0.88243228701382603"/>
          <c:h val="0.51771191841561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data9!$C$1</c:f>
              <c:strCache>
                <c:ptCount val="1"/>
                <c:pt idx="0">
                  <c:v>Indígena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data9!$A$2:$B$12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data9!$C$2:$C$12</c:f>
              <c:numCache>
                <c:formatCode>General</c:formatCode>
                <c:ptCount val="11"/>
                <c:pt idx="0">
                  <c:v>6</c:v>
                </c:pt>
                <c:pt idx="1">
                  <c:v>12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10</c:v>
                </c:pt>
                <c:pt idx="8">
                  <c:v>7</c:v>
                </c:pt>
                <c:pt idx="9">
                  <c:v>8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03-403F-BCE2-1CC40EBB8D2A}"/>
            </c:ext>
          </c:extLst>
        </c:ser>
        <c:ser>
          <c:idx val="1"/>
          <c:order val="1"/>
          <c:tx>
            <c:strRef>
              <c:f>data9!$D$1</c:f>
              <c:strCache>
                <c:ptCount val="1"/>
                <c:pt idx="0">
                  <c:v>Otro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data9!$A$2:$B$12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data9!$D$2:$D$12</c:f>
              <c:numCache>
                <c:formatCode>General</c:formatCode>
                <c:ptCount val="11"/>
                <c:pt idx="0">
                  <c:v>45</c:v>
                </c:pt>
                <c:pt idx="1">
                  <c:v>25</c:v>
                </c:pt>
                <c:pt idx="2">
                  <c:v>34</c:v>
                </c:pt>
                <c:pt idx="3">
                  <c:v>77</c:v>
                </c:pt>
                <c:pt idx="4">
                  <c:v>74</c:v>
                </c:pt>
                <c:pt idx="5">
                  <c:v>90</c:v>
                </c:pt>
                <c:pt idx="6">
                  <c:v>77</c:v>
                </c:pt>
                <c:pt idx="7">
                  <c:v>98</c:v>
                </c:pt>
                <c:pt idx="8">
                  <c:v>101</c:v>
                </c:pt>
                <c:pt idx="9">
                  <c:v>90</c:v>
                </c:pt>
                <c:pt idx="10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03-403F-BCE2-1CC40EBB8D2A}"/>
            </c:ext>
          </c:extLst>
        </c:ser>
        <c:ser>
          <c:idx val="2"/>
          <c:order val="2"/>
          <c:tx>
            <c:strRef>
              <c:f>data9!$E$1</c:f>
              <c:strCache>
                <c:ptCount val="1"/>
                <c:pt idx="0">
                  <c:v>Rom, Gitano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data9!$A$2:$B$12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data9!$E$2:$E$12</c:f>
              <c:numCache>
                <c:formatCode>General</c:formatCode>
                <c:ptCount val="11"/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03-403F-BCE2-1CC40EBB8D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3225955326487575"/>
              <c:y val="0.850530309160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12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Etnia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752490718912723"/>
          <c:y val="0.93553319459045825"/>
          <c:w val="0.24851723385703731"/>
          <c:h val="6.13083310090326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80961</xdr:colOff>
      <xdr:row>20</xdr:row>
      <xdr:rowOff>185737</xdr:rowOff>
    </xdr:from>
    <xdr:to>
      <xdr:col>8</xdr:col>
      <xdr:colOff>47626</xdr:colOff>
      <xdr:row>38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10</xdr:row>
      <xdr:rowOff>39288</xdr:rowOff>
    </xdr:from>
    <xdr:to>
      <xdr:col>7</xdr:col>
      <xdr:colOff>583406</xdr:colOff>
      <xdr:row>26</xdr:row>
      <xdr:rowOff>11906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A3D3-7D7C-40A5-8D4D-E06AE3217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80960</xdr:colOff>
      <xdr:row>20</xdr:row>
      <xdr:rowOff>76200</xdr:rowOff>
    </xdr:from>
    <xdr:to>
      <xdr:col>9</xdr:col>
      <xdr:colOff>704850</xdr:colOff>
      <xdr:row>38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C9DC16-C4DC-4743-B6A0-0556A7F1F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71438</xdr:colOff>
      <xdr:row>10</xdr:row>
      <xdr:rowOff>17462</xdr:rowOff>
    </xdr:from>
    <xdr:to>
      <xdr:col>15</xdr:col>
      <xdr:colOff>71438</xdr:colOff>
      <xdr:row>27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A1074-BD31-4DE9-8744-C287999F3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80960</xdr:colOff>
      <xdr:row>20</xdr:row>
      <xdr:rowOff>76200</xdr:rowOff>
    </xdr:from>
    <xdr:to>
      <xdr:col>10</xdr:col>
      <xdr:colOff>704850</xdr:colOff>
      <xdr:row>38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A268B-86B6-4DFE-A407-1D0D94D97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80960</xdr:colOff>
      <xdr:row>20</xdr:row>
      <xdr:rowOff>76200</xdr:rowOff>
    </xdr:from>
    <xdr:to>
      <xdr:col>10</xdr:col>
      <xdr:colOff>704850</xdr:colOff>
      <xdr:row>38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8FA3E5-64A3-4B1F-8FAE-18946693A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B7" sqref="B7"/>
    </sheetView>
  </sheetViews>
  <sheetFormatPr baseColWidth="10" defaultColWidth="14.42578125" defaultRowHeight="15" customHeight="1"/>
  <sheetData>
    <row r="1" spans="1:2">
      <c r="A1" s="1" t="s">
        <v>13</v>
      </c>
      <c r="B1" s="1" t="s">
        <v>24</v>
      </c>
    </row>
    <row r="2" spans="1:2">
      <c r="A2" s="1" t="s">
        <v>14</v>
      </c>
      <c r="B2" s="1" t="s">
        <v>104</v>
      </c>
    </row>
    <row r="3" spans="1:2">
      <c r="A3" s="1" t="s">
        <v>0</v>
      </c>
      <c r="B3" s="1" t="s">
        <v>193</v>
      </c>
    </row>
    <row r="4" spans="1:2">
      <c r="A4" s="1" t="s">
        <v>15</v>
      </c>
      <c r="B4" s="1" t="s">
        <v>25</v>
      </c>
    </row>
    <row r="5" spans="1:2">
      <c r="A5" s="1" t="s">
        <v>1</v>
      </c>
      <c r="B5" s="5" t="s">
        <v>26</v>
      </c>
    </row>
    <row r="6" spans="1:2">
      <c r="A6" t="s">
        <v>2</v>
      </c>
      <c r="B6" s="1" t="s">
        <v>194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4"/>
  <sheetViews>
    <sheetView topLeftCell="A16" workbookViewId="0">
      <selection activeCell="K22" sqref="K22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8" width="12.42578125" customWidth="1"/>
    <col min="9" max="12" width="9.140625" customWidth="1"/>
    <col min="13" max="25" width="10.7109375" customWidth="1"/>
  </cols>
  <sheetData>
    <row r="1" spans="1:15">
      <c r="A1" s="7" t="s">
        <v>3</v>
      </c>
      <c r="B1" s="7" t="s">
        <v>27</v>
      </c>
      <c r="C1" s="15" t="s">
        <v>79</v>
      </c>
      <c r="D1" s="15" t="s">
        <v>80</v>
      </c>
      <c r="E1" s="15" t="s">
        <v>81</v>
      </c>
      <c r="F1" s="15" t="s">
        <v>106</v>
      </c>
      <c r="G1" s="15" t="s">
        <v>105</v>
      </c>
      <c r="H1" s="15" t="s">
        <v>107</v>
      </c>
      <c r="I1" s="7" t="s">
        <v>4</v>
      </c>
      <c r="O1" s="2"/>
    </row>
    <row r="2" spans="1:15">
      <c r="A2" s="8">
        <v>2020</v>
      </c>
      <c r="B2" s="11" t="s">
        <v>28</v>
      </c>
      <c r="C2" s="9">
        <v>1</v>
      </c>
      <c r="D2" s="9"/>
      <c r="E2" s="9"/>
      <c r="F2" s="9">
        <v>8</v>
      </c>
      <c r="G2" s="9">
        <v>16</v>
      </c>
      <c r="H2" s="9">
        <v>26</v>
      </c>
      <c r="I2" s="9">
        <f t="shared" ref="I2:I9" si="0">SUM(C2:H2)</f>
        <v>51</v>
      </c>
    </row>
    <row r="3" spans="1:15">
      <c r="A3" s="8">
        <v>2020</v>
      </c>
      <c r="B3" s="11" t="s">
        <v>29</v>
      </c>
      <c r="C3" s="9">
        <v>2</v>
      </c>
      <c r="D3" s="9"/>
      <c r="E3" s="9"/>
      <c r="F3" s="9">
        <v>2</v>
      </c>
      <c r="G3" s="9">
        <v>17</v>
      </c>
      <c r="H3" s="9">
        <v>16</v>
      </c>
      <c r="I3" s="9">
        <f t="shared" si="0"/>
        <v>37</v>
      </c>
    </row>
    <row r="4" spans="1:15">
      <c r="A4" s="8">
        <v>2021</v>
      </c>
      <c r="B4" s="11" t="s">
        <v>28</v>
      </c>
      <c r="C4" s="9"/>
      <c r="D4" s="9"/>
      <c r="E4" s="9">
        <v>1</v>
      </c>
      <c r="F4" s="9">
        <v>8</v>
      </c>
      <c r="G4" s="9">
        <v>14</v>
      </c>
      <c r="H4" s="9">
        <v>19</v>
      </c>
      <c r="I4" s="9">
        <f t="shared" si="0"/>
        <v>42</v>
      </c>
    </row>
    <row r="5" spans="1:15">
      <c r="A5" s="8">
        <v>2021</v>
      </c>
      <c r="B5" s="11" t="s">
        <v>29</v>
      </c>
      <c r="C5" s="9">
        <v>1</v>
      </c>
      <c r="D5" s="9"/>
      <c r="E5" s="9">
        <v>1</v>
      </c>
      <c r="F5" s="9">
        <v>8</v>
      </c>
      <c r="G5" s="9">
        <v>28</v>
      </c>
      <c r="H5" s="9">
        <v>42</v>
      </c>
      <c r="I5" s="9">
        <f t="shared" si="0"/>
        <v>80</v>
      </c>
    </row>
    <row r="6" spans="1:15">
      <c r="A6" s="8">
        <v>2022</v>
      </c>
      <c r="B6" s="11" t="s">
        <v>28</v>
      </c>
      <c r="C6" s="9"/>
      <c r="D6" s="9"/>
      <c r="E6" s="9"/>
      <c r="F6" s="9">
        <v>7</v>
      </c>
      <c r="G6" s="9">
        <v>27</v>
      </c>
      <c r="H6" s="9">
        <v>41</v>
      </c>
      <c r="I6" s="9">
        <f t="shared" si="0"/>
        <v>75</v>
      </c>
    </row>
    <row r="7" spans="1:15">
      <c r="A7" s="8">
        <v>2022</v>
      </c>
      <c r="B7" s="11" t="s">
        <v>29</v>
      </c>
      <c r="C7" s="9">
        <v>1</v>
      </c>
      <c r="D7" s="9"/>
      <c r="E7" s="9">
        <v>1</v>
      </c>
      <c r="F7" s="9">
        <v>12</v>
      </c>
      <c r="G7" s="9">
        <v>26</v>
      </c>
      <c r="H7" s="9">
        <v>53</v>
      </c>
      <c r="I7" s="9">
        <f t="shared" si="0"/>
        <v>93</v>
      </c>
    </row>
    <row r="8" spans="1:15">
      <c r="A8" s="8">
        <v>2023</v>
      </c>
      <c r="B8" s="11" t="s">
        <v>28</v>
      </c>
      <c r="C8" s="9"/>
      <c r="D8" s="9">
        <v>2</v>
      </c>
      <c r="E8" s="9">
        <v>1</v>
      </c>
      <c r="F8" s="9">
        <v>8</v>
      </c>
      <c r="G8" s="9">
        <v>33</v>
      </c>
      <c r="H8" s="9">
        <v>36</v>
      </c>
      <c r="I8" s="9">
        <f t="shared" si="0"/>
        <v>80</v>
      </c>
    </row>
    <row r="9" spans="1:15">
      <c r="A9" s="8">
        <v>2023</v>
      </c>
      <c r="B9" s="11" t="s">
        <v>29</v>
      </c>
      <c r="C9" s="9">
        <v>1</v>
      </c>
      <c r="D9" s="9">
        <v>2</v>
      </c>
      <c r="E9" s="9">
        <v>3</v>
      </c>
      <c r="F9" s="9">
        <v>15</v>
      </c>
      <c r="G9" s="9">
        <v>32</v>
      </c>
      <c r="H9" s="9">
        <v>56</v>
      </c>
      <c r="I9" s="9">
        <f>SUM(C9:H9)</f>
        <v>109</v>
      </c>
    </row>
    <row r="10" spans="1:15">
      <c r="A10" s="8">
        <v>2024</v>
      </c>
      <c r="B10" s="11" t="s">
        <v>28</v>
      </c>
      <c r="C10" s="17" t="s">
        <v>195</v>
      </c>
      <c r="D10" s="18"/>
      <c r="E10" s="18"/>
      <c r="F10" s="18"/>
      <c r="G10" s="18"/>
      <c r="H10" s="19"/>
      <c r="I10" s="9">
        <v>108</v>
      </c>
    </row>
    <row r="11" spans="1:15">
      <c r="A11" s="8">
        <v>2024</v>
      </c>
      <c r="B11" s="11" t="s">
        <v>29</v>
      </c>
      <c r="C11" s="17" t="s">
        <v>195</v>
      </c>
      <c r="D11" s="18"/>
      <c r="E11" s="18"/>
      <c r="F11" s="18"/>
      <c r="G11" s="18"/>
      <c r="H11" s="19"/>
      <c r="I11" s="9">
        <v>98</v>
      </c>
    </row>
    <row r="12" spans="1:15">
      <c r="A12" s="8">
        <v>2025</v>
      </c>
      <c r="B12" s="11" t="s">
        <v>28</v>
      </c>
      <c r="C12" s="17" t="s">
        <v>195</v>
      </c>
      <c r="D12" s="18"/>
      <c r="E12" s="18"/>
      <c r="F12" s="18"/>
      <c r="G12" s="18"/>
      <c r="H12" s="19"/>
      <c r="I12" s="9">
        <v>99</v>
      </c>
    </row>
    <row r="13" spans="1:15">
      <c r="A13" s="10" t="s">
        <v>20</v>
      </c>
      <c r="B13" s="10"/>
      <c r="C13" s="9">
        <f t="shared" ref="C13:I13" si="1">SUM(C2:C9)</f>
        <v>6</v>
      </c>
      <c r="D13" s="9">
        <f t="shared" si="1"/>
        <v>4</v>
      </c>
      <c r="E13" s="9">
        <f t="shared" si="1"/>
        <v>7</v>
      </c>
      <c r="F13" s="9">
        <f t="shared" si="1"/>
        <v>68</v>
      </c>
      <c r="G13" s="9">
        <f t="shared" si="1"/>
        <v>193</v>
      </c>
      <c r="H13" s="9">
        <f t="shared" si="1"/>
        <v>289</v>
      </c>
      <c r="I13" s="9">
        <f>SUM(I2:I12)</f>
        <v>872</v>
      </c>
    </row>
    <row r="15" spans="1:15">
      <c r="A15" s="1" t="s">
        <v>0</v>
      </c>
      <c r="B15" s="1" t="s">
        <v>197</v>
      </c>
      <c r="C15" s="1"/>
      <c r="D15" s="1"/>
      <c r="E15" s="1"/>
      <c r="F15" s="1"/>
    </row>
    <row r="16" spans="1:15">
      <c r="A16" s="5" t="s">
        <v>14</v>
      </c>
      <c r="B16" s="1" t="s">
        <v>196</v>
      </c>
      <c r="C16" s="1"/>
      <c r="D16" s="1"/>
      <c r="E16" s="5"/>
      <c r="F16" s="5"/>
    </row>
    <row r="17" spans="1:6">
      <c r="A17" s="1" t="s">
        <v>5</v>
      </c>
      <c r="B17" s="1" t="s">
        <v>78</v>
      </c>
      <c r="C17" s="1"/>
      <c r="D17" s="1"/>
      <c r="E17" s="1"/>
      <c r="F17" s="1"/>
    </row>
    <row r="18" spans="1:6">
      <c r="A18" s="1" t="s">
        <v>7</v>
      </c>
      <c r="B18" s="1" t="s">
        <v>23</v>
      </c>
      <c r="C18" s="1"/>
      <c r="D18" s="1"/>
      <c r="E18" s="1"/>
      <c r="F18" s="1"/>
    </row>
    <row r="19" spans="1:6" ht="15" customHeight="1">
      <c r="A19" s="1"/>
      <c r="B19" s="1"/>
      <c r="C19" s="1"/>
      <c r="D19" s="1"/>
      <c r="E19" s="1"/>
      <c r="F19" s="1"/>
    </row>
    <row r="20" spans="1:6" ht="15" customHeight="1">
      <c r="A20" s="1" t="s">
        <v>10</v>
      </c>
      <c r="B20" s="1" t="s">
        <v>16</v>
      </c>
      <c r="C20" s="1"/>
      <c r="D20" s="1"/>
      <c r="E20" s="1"/>
      <c r="F20" s="1"/>
    </row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C10:H10"/>
    <mergeCell ref="C11:H11"/>
    <mergeCell ref="C12:H12"/>
  </mergeCells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6"/>
  <sheetViews>
    <sheetView workbookViewId="0">
      <selection activeCell="E1" sqref="E1"/>
    </sheetView>
  </sheetViews>
  <sheetFormatPr baseColWidth="10" defaultColWidth="14.42578125" defaultRowHeight="15" customHeight="1"/>
  <cols>
    <col min="1" max="1" width="11.85546875" bestFit="1" customWidth="1"/>
    <col min="2" max="2" width="6.85546875" customWidth="1"/>
    <col min="3" max="3" width="17.42578125" customWidth="1"/>
    <col min="4" max="26" width="10.7109375" customWidth="1"/>
  </cols>
  <sheetData>
    <row r="1" spans="1:5">
      <c r="A1" s="3" t="s">
        <v>17</v>
      </c>
      <c r="B1" s="3" t="s">
        <v>3</v>
      </c>
      <c r="C1" s="3" t="s">
        <v>108</v>
      </c>
      <c r="D1" s="3" t="s">
        <v>8</v>
      </c>
      <c r="E1" s="3" t="s">
        <v>9</v>
      </c>
    </row>
    <row r="2" spans="1:5">
      <c r="A2" s="13">
        <v>15106</v>
      </c>
      <c r="B2" s="13">
        <v>2023</v>
      </c>
      <c r="C2" s="13" t="s">
        <v>111</v>
      </c>
      <c r="D2" s="13" t="s">
        <v>110</v>
      </c>
      <c r="E2" s="13">
        <v>1</v>
      </c>
    </row>
    <row r="3" spans="1:5">
      <c r="A3" s="13">
        <v>15368</v>
      </c>
      <c r="B3" s="13">
        <v>2021</v>
      </c>
      <c r="C3" s="13" t="s">
        <v>111</v>
      </c>
      <c r="D3" s="13" t="s">
        <v>112</v>
      </c>
      <c r="E3" s="13">
        <v>1</v>
      </c>
    </row>
    <row r="4" spans="1:5">
      <c r="A4" s="13">
        <v>76001</v>
      </c>
      <c r="B4" s="13">
        <v>2025</v>
      </c>
      <c r="C4" s="13" t="s">
        <v>222</v>
      </c>
      <c r="D4" s="13" t="s">
        <v>110</v>
      </c>
      <c r="E4" s="13">
        <v>1</v>
      </c>
    </row>
    <row r="5" spans="1:5">
      <c r="A5" s="13" t="s">
        <v>223</v>
      </c>
      <c r="B5" s="13">
        <v>2022</v>
      </c>
      <c r="C5" s="13" t="s">
        <v>111</v>
      </c>
      <c r="D5" s="13" t="s">
        <v>110</v>
      </c>
      <c r="E5" s="13">
        <v>1</v>
      </c>
    </row>
    <row r="6" spans="1:5">
      <c r="A6" s="13" t="s">
        <v>223</v>
      </c>
      <c r="B6" s="13">
        <v>2023</v>
      </c>
      <c r="C6" s="13" t="s">
        <v>111</v>
      </c>
      <c r="D6" s="13" t="s">
        <v>110</v>
      </c>
      <c r="E6" s="13">
        <v>2</v>
      </c>
    </row>
    <row r="7" spans="1:5">
      <c r="A7" s="13" t="s">
        <v>223</v>
      </c>
      <c r="B7" s="13">
        <v>2024</v>
      </c>
      <c r="C7" s="13" t="s">
        <v>222</v>
      </c>
      <c r="D7" s="13" t="s">
        <v>110</v>
      </c>
      <c r="E7" s="13">
        <v>1</v>
      </c>
    </row>
    <row r="8" spans="1:5">
      <c r="A8" s="13" t="s">
        <v>82</v>
      </c>
      <c r="B8" s="13">
        <v>2020</v>
      </c>
      <c r="C8" s="13" t="s">
        <v>109</v>
      </c>
      <c r="D8" s="13" t="s">
        <v>110</v>
      </c>
      <c r="E8" s="13">
        <v>2</v>
      </c>
    </row>
    <row r="9" spans="1:5">
      <c r="A9" s="13" t="s">
        <v>82</v>
      </c>
      <c r="B9" s="13">
        <v>2020</v>
      </c>
      <c r="C9" s="13" t="s">
        <v>111</v>
      </c>
      <c r="D9" s="13" t="s">
        <v>110</v>
      </c>
      <c r="E9" s="13">
        <v>4</v>
      </c>
    </row>
    <row r="10" spans="1:5">
      <c r="A10" s="13" t="s">
        <v>82</v>
      </c>
      <c r="B10" s="13">
        <v>2020</v>
      </c>
      <c r="C10" s="13" t="s">
        <v>111</v>
      </c>
      <c r="D10" s="13" t="s">
        <v>112</v>
      </c>
      <c r="E10" s="13">
        <v>2</v>
      </c>
    </row>
    <row r="11" spans="1:5">
      <c r="A11" s="13" t="s">
        <v>82</v>
      </c>
      <c r="B11" s="13">
        <v>2021</v>
      </c>
      <c r="C11" s="13" t="s">
        <v>109</v>
      </c>
      <c r="D11" s="13" t="s">
        <v>110</v>
      </c>
      <c r="E11" s="13">
        <v>2</v>
      </c>
    </row>
    <row r="12" spans="1:5">
      <c r="A12" s="13" t="s">
        <v>82</v>
      </c>
      <c r="B12" s="13">
        <v>2021</v>
      </c>
      <c r="C12" s="13" t="s">
        <v>111</v>
      </c>
      <c r="D12" s="13" t="s">
        <v>110</v>
      </c>
      <c r="E12" s="13">
        <v>3</v>
      </c>
    </row>
    <row r="13" spans="1:5">
      <c r="A13" s="13" t="s">
        <v>82</v>
      </c>
      <c r="B13" s="13">
        <v>2021</v>
      </c>
      <c r="C13" s="13" t="s">
        <v>111</v>
      </c>
      <c r="D13" s="13" t="s">
        <v>112</v>
      </c>
      <c r="E13" s="13">
        <v>2</v>
      </c>
    </row>
    <row r="14" spans="1:5">
      <c r="A14" s="13" t="s">
        <v>82</v>
      </c>
      <c r="B14" s="13">
        <v>2022</v>
      </c>
      <c r="C14" s="13" t="s">
        <v>109</v>
      </c>
      <c r="D14" s="13" t="s">
        <v>110</v>
      </c>
      <c r="E14" s="13">
        <v>6</v>
      </c>
    </row>
    <row r="15" spans="1:5">
      <c r="A15" s="13" t="s">
        <v>82</v>
      </c>
      <c r="B15" s="13">
        <v>2022</v>
      </c>
      <c r="C15" s="13" t="s">
        <v>111</v>
      </c>
      <c r="D15" s="13" t="s">
        <v>110</v>
      </c>
      <c r="E15" s="13">
        <v>6</v>
      </c>
    </row>
    <row r="16" spans="1:5">
      <c r="A16" s="13" t="s">
        <v>82</v>
      </c>
      <c r="B16" s="13">
        <v>2022</v>
      </c>
      <c r="C16" s="13" t="s">
        <v>111</v>
      </c>
      <c r="D16" s="13" t="s">
        <v>112</v>
      </c>
      <c r="E16" s="13">
        <v>7</v>
      </c>
    </row>
    <row r="17" spans="1:5">
      <c r="A17" s="13" t="s">
        <v>82</v>
      </c>
      <c r="B17" s="13">
        <v>2023</v>
      </c>
      <c r="C17" s="13" t="s">
        <v>109</v>
      </c>
      <c r="D17" s="13" t="s">
        <v>110</v>
      </c>
      <c r="E17" s="13">
        <v>4</v>
      </c>
    </row>
    <row r="18" spans="1:5">
      <c r="A18" s="13" t="s">
        <v>82</v>
      </c>
      <c r="B18" s="13">
        <v>2023</v>
      </c>
      <c r="C18" s="13" t="s">
        <v>109</v>
      </c>
      <c r="D18" s="13" t="s">
        <v>112</v>
      </c>
      <c r="E18" s="13">
        <v>1</v>
      </c>
    </row>
    <row r="19" spans="1:5">
      <c r="A19" s="13" t="s">
        <v>82</v>
      </c>
      <c r="B19" s="13">
        <v>2023</v>
      </c>
      <c r="C19" s="13" t="s">
        <v>111</v>
      </c>
      <c r="D19" s="13" t="s">
        <v>110</v>
      </c>
      <c r="E19" s="13">
        <v>3</v>
      </c>
    </row>
    <row r="20" spans="1:5">
      <c r="A20" s="13" t="s">
        <v>82</v>
      </c>
      <c r="B20" s="13">
        <v>2023</v>
      </c>
      <c r="C20" s="13" t="s">
        <v>111</v>
      </c>
      <c r="D20" s="13" t="s">
        <v>112</v>
      </c>
      <c r="E20" s="13">
        <v>3</v>
      </c>
    </row>
    <row r="21" spans="1:5">
      <c r="A21" s="13" t="s">
        <v>82</v>
      </c>
      <c r="B21" s="13">
        <v>2024</v>
      </c>
      <c r="C21" s="13" t="s">
        <v>224</v>
      </c>
      <c r="D21" s="13" t="s">
        <v>110</v>
      </c>
      <c r="E21" s="13">
        <v>3</v>
      </c>
    </row>
    <row r="22" spans="1:5">
      <c r="A22" s="13" t="s">
        <v>82</v>
      </c>
      <c r="B22" s="13">
        <v>2024</v>
      </c>
      <c r="C22" s="13" t="s">
        <v>224</v>
      </c>
      <c r="D22" s="13" t="s">
        <v>112</v>
      </c>
      <c r="E22" s="13">
        <v>2</v>
      </c>
    </row>
    <row r="23" spans="1:5">
      <c r="A23" s="13" t="s">
        <v>82</v>
      </c>
      <c r="B23" s="13">
        <v>2024</v>
      </c>
      <c r="C23" s="13" t="s">
        <v>222</v>
      </c>
      <c r="D23" s="13" t="s">
        <v>110</v>
      </c>
      <c r="E23" s="13">
        <v>7</v>
      </c>
    </row>
    <row r="24" spans="1:5">
      <c r="A24" s="13" t="s">
        <v>82</v>
      </c>
      <c r="B24" s="13">
        <v>2024</v>
      </c>
      <c r="C24" s="13" t="s">
        <v>222</v>
      </c>
      <c r="D24" s="13" t="s">
        <v>112</v>
      </c>
      <c r="E24" s="13">
        <v>9</v>
      </c>
    </row>
    <row r="25" spans="1:5">
      <c r="A25" s="13" t="s">
        <v>82</v>
      </c>
      <c r="B25" s="13">
        <v>2025</v>
      </c>
      <c r="C25" s="13" t="s">
        <v>222</v>
      </c>
      <c r="D25" s="13" t="s">
        <v>110</v>
      </c>
      <c r="E25" s="13">
        <v>8</v>
      </c>
    </row>
    <row r="26" spans="1:5">
      <c r="A26" s="13" t="s">
        <v>82</v>
      </c>
      <c r="B26" s="13">
        <v>2025</v>
      </c>
      <c r="C26" s="13" t="s">
        <v>222</v>
      </c>
      <c r="D26" s="13" t="s">
        <v>112</v>
      </c>
      <c r="E26" s="13">
        <v>3</v>
      </c>
    </row>
    <row r="27" spans="1:5">
      <c r="A27" s="13" t="s">
        <v>113</v>
      </c>
      <c r="B27" s="13">
        <v>2021</v>
      </c>
      <c r="C27" s="13" t="s">
        <v>111</v>
      </c>
      <c r="D27" s="13" t="s">
        <v>110</v>
      </c>
      <c r="E27" s="13">
        <v>1</v>
      </c>
    </row>
    <row r="28" spans="1:5">
      <c r="A28" s="13" t="s">
        <v>113</v>
      </c>
      <c r="B28" s="13">
        <v>2023</v>
      </c>
      <c r="C28" s="13" t="s">
        <v>111</v>
      </c>
      <c r="D28" s="13" t="s">
        <v>112</v>
      </c>
      <c r="E28" s="13">
        <v>1</v>
      </c>
    </row>
    <row r="29" spans="1:5">
      <c r="A29" s="13" t="s">
        <v>113</v>
      </c>
      <c r="B29" s="13">
        <v>2024</v>
      </c>
      <c r="C29" s="13" t="s">
        <v>222</v>
      </c>
      <c r="D29" s="13" t="s">
        <v>110</v>
      </c>
      <c r="E29" s="13">
        <v>1</v>
      </c>
    </row>
    <row r="30" spans="1:5">
      <c r="A30" s="13" t="s">
        <v>114</v>
      </c>
      <c r="B30" s="13">
        <v>2022</v>
      </c>
      <c r="C30" s="13" t="s">
        <v>109</v>
      </c>
      <c r="D30" s="13" t="s">
        <v>110</v>
      </c>
      <c r="E30" s="13">
        <v>1</v>
      </c>
    </row>
    <row r="31" spans="1:5">
      <c r="A31" s="13" t="s">
        <v>114</v>
      </c>
      <c r="B31" s="13">
        <v>2024</v>
      </c>
      <c r="C31" s="13" t="s">
        <v>222</v>
      </c>
      <c r="D31" s="13" t="s">
        <v>110</v>
      </c>
      <c r="E31" s="13">
        <v>1</v>
      </c>
    </row>
    <row r="32" spans="1:5">
      <c r="A32" s="13" t="s">
        <v>114</v>
      </c>
      <c r="B32" s="13">
        <v>2025</v>
      </c>
      <c r="C32" s="13" t="s">
        <v>222</v>
      </c>
      <c r="D32" s="13" t="s">
        <v>112</v>
      </c>
      <c r="E32" s="13">
        <v>1</v>
      </c>
    </row>
    <row r="33" spans="1:5">
      <c r="A33" s="13" t="s">
        <v>115</v>
      </c>
      <c r="B33" s="13">
        <v>2021</v>
      </c>
      <c r="C33" s="13" t="s">
        <v>111</v>
      </c>
      <c r="D33" s="13" t="s">
        <v>110</v>
      </c>
      <c r="E33" s="13">
        <v>1</v>
      </c>
    </row>
    <row r="34" spans="1:5">
      <c r="A34" s="13" t="s">
        <v>115</v>
      </c>
      <c r="B34" s="13">
        <v>2022</v>
      </c>
      <c r="C34" s="13" t="s">
        <v>111</v>
      </c>
      <c r="D34" s="13" t="s">
        <v>112</v>
      </c>
      <c r="E34" s="13">
        <v>4</v>
      </c>
    </row>
    <row r="35" spans="1:5">
      <c r="A35" s="13" t="s">
        <v>85</v>
      </c>
      <c r="B35" s="13">
        <v>2021</v>
      </c>
      <c r="C35" s="13" t="s">
        <v>111</v>
      </c>
      <c r="D35" s="13" t="s">
        <v>112</v>
      </c>
      <c r="E35" s="13">
        <v>1</v>
      </c>
    </row>
    <row r="36" spans="1:5">
      <c r="A36" s="13" t="s">
        <v>116</v>
      </c>
      <c r="B36" s="13">
        <v>2020</v>
      </c>
      <c r="C36" s="13" t="s">
        <v>111</v>
      </c>
      <c r="D36" s="13" t="s">
        <v>110</v>
      </c>
      <c r="E36" s="13">
        <v>1</v>
      </c>
    </row>
    <row r="37" spans="1:5">
      <c r="A37" s="13" t="s">
        <v>117</v>
      </c>
      <c r="B37" s="13">
        <v>2023</v>
      </c>
      <c r="C37" s="13" t="s">
        <v>111</v>
      </c>
      <c r="D37" s="13" t="s">
        <v>110</v>
      </c>
      <c r="E37" s="13">
        <v>1</v>
      </c>
    </row>
    <row r="38" spans="1:5">
      <c r="A38" s="13" t="s">
        <v>117</v>
      </c>
      <c r="B38" s="13">
        <v>2024</v>
      </c>
      <c r="C38" s="13" t="s">
        <v>224</v>
      </c>
      <c r="D38" s="13" t="s">
        <v>112</v>
      </c>
      <c r="E38" s="13">
        <v>1</v>
      </c>
    </row>
    <row r="39" spans="1:5">
      <c r="A39" s="13" t="s">
        <v>225</v>
      </c>
      <c r="B39" s="13">
        <v>2024</v>
      </c>
      <c r="C39" s="13" t="s">
        <v>222</v>
      </c>
      <c r="D39" s="13" t="s">
        <v>110</v>
      </c>
      <c r="E39" s="13">
        <v>1</v>
      </c>
    </row>
    <row r="40" spans="1:5">
      <c r="A40" s="13" t="s">
        <v>225</v>
      </c>
      <c r="B40" s="13">
        <v>2025</v>
      </c>
      <c r="C40" s="13" t="s">
        <v>222</v>
      </c>
      <c r="D40" s="13" t="s">
        <v>110</v>
      </c>
      <c r="E40" s="13">
        <v>1</v>
      </c>
    </row>
    <row r="41" spans="1:5">
      <c r="A41" s="13" t="s">
        <v>118</v>
      </c>
      <c r="B41" s="13">
        <v>2022</v>
      </c>
      <c r="C41" s="13" t="s">
        <v>111</v>
      </c>
      <c r="D41" s="13" t="s">
        <v>110</v>
      </c>
      <c r="E41" s="13">
        <v>2</v>
      </c>
    </row>
    <row r="42" spans="1:5">
      <c r="A42" s="13" t="s">
        <v>118</v>
      </c>
      <c r="B42" s="13">
        <v>2023</v>
      </c>
      <c r="C42" s="13" t="s">
        <v>111</v>
      </c>
      <c r="D42" s="13" t="s">
        <v>110</v>
      </c>
      <c r="E42" s="13">
        <v>1</v>
      </c>
    </row>
    <row r="43" spans="1:5">
      <c r="A43" s="13" t="s">
        <v>119</v>
      </c>
      <c r="B43" s="13">
        <v>2022</v>
      </c>
      <c r="C43" s="13" t="s">
        <v>111</v>
      </c>
      <c r="D43" s="13" t="s">
        <v>110</v>
      </c>
      <c r="E43" s="13">
        <v>1</v>
      </c>
    </row>
    <row r="44" spans="1:5">
      <c r="A44" s="13" t="s">
        <v>119</v>
      </c>
      <c r="B44" s="13">
        <v>2023</v>
      </c>
      <c r="C44" s="13" t="s">
        <v>111</v>
      </c>
      <c r="D44" s="13" t="s">
        <v>112</v>
      </c>
      <c r="E44" s="13">
        <v>1</v>
      </c>
    </row>
    <row r="45" spans="1:5">
      <c r="A45" s="13" t="s">
        <v>120</v>
      </c>
      <c r="B45" s="13">
        <v>2023</v>
      </c>
      <c r="C45" s="13" t="s">
        <v>111</v>
      </c>
      <c r="D45" s="13" t="s">
        <v>110</v>
      </c>
      <c r="E45" s="13">
        <v>1</v>
      </c>
    </row>
    <row r="46" spans="1:5">
      <c r="A46" s="13" t="s">
        <v>120</v>
      </c>
      <c r="B46" s="13">
        <v>2024</v>
      </c>
      <c r="C46" s="13" t="s">
        <v>224</v>
      </c>
      <c r="D46" s="13" t="s">
        <v>112</v>
      </c>
      <c r="E46" s="13">
        <v>1</v>
      </c>
    </row>
    <row r="47" spans="1:5">
      <c r="A47" s="13" t="s">
        <v>86</v>
      </c>
      <c r="B47" s="13">
        <v>2020</v>
      </c>
      <c r="C47" s="13" t="s">
        <v>111</v>
      </c>
      <c r="D47" s="13" t="s">
        <v>112</v>
      </c>
      <c r="E47" s="13">
        <v>2</v>
      </c>
    </row>
    <row r="48" spans="1:5">
      <c r="A48" s="13" t="s">
        <v>86</v>
      </c>
      <c r="B48" s="13">
        <v>2021</v>
      </c>
      <c r="C48" s="13" t="s">
        <v>109</v>
      </c>
      <c r="D48" s="13" t="s">
        <v>112</v>
      </c>
      <c r="E48" s="13">
        <v>1</v>
      </c>
    </row>
    <row r="49" spans="1:5">
      <c r="A49" s="13" t="s">
        <v>86</v>
      </c>
      <c r="B49" s="13">
        <v>2021</v>
      </c>
      <c r="C49" s="13" t="s">
        <v>111</v>
      </c>
      <c r="D49" s="13" t="s">
        <v>110</v>
      </c>
      <c r="E49" s="13">
        <v>5</v>
      </c>
    </row>
    <row r="50" spans="1:5">
      <c r="A50" s="13" t="s">
        <v>86</v>
      </c>
      <c r="B50" s="13">
        <v>2021</v>
      </c>
      <c r="C50" s="13" t="s">
        <v>111</v>
      </c>
      <c r="D50" s="13" t="s">
        <v>112</v>
      </c>
      <c r="E50" s="13">
        <v>3</v>
      </c>
    </row>
    <row r="51" spans="1:5">
      <c r="A51" s="13" t="s">
        <v>86</v>
      </c>
      <c r="B51" s="13">
        <v>2022</v>
      </c>
      <c r="C51" s="13" t="s">
        <v>111</v>
      </c>
      <c r="D51" s="13" t="s">
        <v>110</v>
      </c>
      <c r="E51" s="13">
        <v>5</v>
      </c>
    </row>
    <row r="52" spans="1:5">
      <c r="A52" s="13" t="s">
        <v>86</v>
      </c>
      <c r="B52" s="13">
        <v>2022</v>
      </c>
      <c r="C52" s="13" t="s">
        <v>111</v>
      </c>
      <c r="D52" s="13" t="s">
        <v>112</v>
      </c>
      <c r="E52" s="13">
        <v>2</v>
      </c>
    </row>
    <row r="53" spans="1:5">
      <c r="A53" s="13" t="s">
        <v>86</v>
      </c>
      <c r="B53" s="13">
        <v>2023</v>
      </c>
      <c r="C53" s="13" t="s">
        <v>109</v>
      </c>
      <c r="D53" s="13" t="s">
        <v>110</v>
      </c>
      <c r="E53" s="13">
        <v>1</v>
      </c>
    </row>
    <row r="54" spans="1:5">
      <c r="A54" s="13" t="s">
        <v>86</v>
      </c>
      <c r="B54" s="13">
        <v>2023</v>
      </c>
      <c r="C54" s="13" t="s">
        <v>111</v>
      </c>
      <c r="D54" s="13" t="s">
        <v>110</v>
      </c>
      <c r="E54" s="13">
        <v>2</v>
      </c>
    </row>
    <row r="55" spans="1:5">
      <c r="A55" s="13" t="s">
        <v>86</v>
      </c>
      <c r="B55" s="13">
        <v>2023</v>
      </c>
      <c r="C55" s="13" t="s">
        <v>111</v>
      </c>
      <c r="D55" s="13" t="s">
        <v>112</v>
      </c>
      <c r="E55" s="13">
        <v>5</v>
      </c>
    </row>
    <row r="56" spans="1:5">
      <c r="A56" s="13" t="s">
        <v>86</v>
      </c>
      <c r="B56" s="13">
        <v>2024</v>
      </c>
      <c r="C56" s="13" t="s">
        <v>224</v>
      </c>
      <c r="D56" s="13" t="s">
        <v>110</v>
      </c>
      <c r="E56" s="13">
        <v>2</v>
      </c>
    </row>
    <row r="57" spans="1:5">
      <c r="A57" s="13" t="s">
        <v>86</v>
      </c>
      <c r="B57" s="13">
        <v>2024</v>
      </c>
      <c r="C57" s="13" t="s">
        <v>222</v>
      </c>
      <c r="D57" s="13" t="s">
        <v>110</v>
      </c>
      <c r="E57" s="13">
        <v>3</v>
      </c>
    </row>
    <row r="58" spans="1:5">
      <c r="A58" s="13" t="s">
        <v>86</v>
      </c>
      <c r="B58" s="13">
        <v>2025</v>
      </c>
      <c r="C58" s="13" t="s">
        <v>224</v>
      </c>
      <c r="D58" s="13" t="s">
        <v>112</v>
      </c>
      <c r="E58" s="13">
        <v>1</v>
      </c>
    </row>
    <row r="59" spans="1:5">
      <c r="A59" s="13" t="s">
        <v>86</v>
      </c>
      <c r="B59" s="13">
        <v>2025</v>
      </c>
      <c r="C59" s="13" t="s">
        <v>222</v>
      </c>
      <c r="D59" s="13" t="s">
        <v>110</v>
      </c>
      <c r="E59" s="13">
        <v>9</v>
      </c>
    </row>
    <row r="60" spans="1:5">
      <c r="A60" s="13" t="s">
        <v>121</v>
      </c>
      <c r="B60" s="13">
        <v>2022</v>
      </c>
      <c r="C60" s="13" t="s">
        <v>111</v>
      </c>
      <c r="D60" s="13" t="s">
        <v>110</v>
      </c>
      <c r="E60" s="13">
        <v>1</v>
      </c>
    </row>
    <row r="61" spans="1:5">
      <c r="A61" s="13" t="s">
        <v>121</v>
      </c>
      <c r="B61" s="13">
        <v>2025</v>
      </c>
      <c r="C61" s="13" t="s">
        <v>222</v>
      </c>
      <c r="D61" s="13" t="s">
        <v>112</v>
      </c>
      <c r="E61" s="13">
        <v>1</v>
      </c>
    </row>
    <row r="62" spans="1:5">
      <c r="A62" s="13" t="s">
        <v>122</v>
      </c>
      <c r="B62" s="13">
        <v>2022</v>
      </c>
      <c r="C62" s="13" t="s">
        <v>111</v>
      </c>
      <c r="D62" s="13" t="s">
        <v>110</v>
      </c>
      <c r="E62" s="13">
        <v>1</v>
      </c>
    </row>
    <row r="63" spans="1:5">
      <c r="A63" s="13" t="s">
        <v>122</v>
      </c>
      <c r="B63" s="13">
        <v>2023</v>
      </c>
      <c r="C63" s="13" t="s">
        <v>111</v>
      </c>
      <c r="D63" s="13" t="s">
        <v>110</v>
      </c>
      <c r="E63" s="13">
        <v>1</v>
      </c>
    </row>
    <row r="64" spans="1:5">
      <c r="A64" s="13" t="s">
        <v>122</v>
      </c>
      <c r="B64" s="13">
        <v>2024</v>
      </c>
      <c r="C64" s="13" t="s">
        <v>224</v>
      </c>
      <c r="D64" s="13" t="s">
        <v>110</v>
      </c>
      <c r="E64" s="13">
        <v>1</v>
      </c>
    </row>
    <row r="65" spans="1:5">
      <c r="A65" s="13" t="s">
        <v>122</v>
      </c>
      <c r="B65" s="13">
        <v>2024</v>
      </c>
      <c r="C65" s="13" t="s">
        <v>222</v>
      </c>
      <c r="D65" s="13" t="s">
        <v>110</v>
      </c>
      <c r="E65" s="13">
        <v>1</v>
      </c>
    </row>
    <row r="66" spans="1:5">
      <c r="A66" s="13" t="s">
        <v>123</v>
      </c>
      <c r="B66" s="13">
        <v>2023</v>
      </c>
      <c r="C66" s="13" t="s">
        <v>111</v>
      </c>
      <c r="D66" s="13" t="s">
        <v>112</v>
      </c>
      <c r="E66" s="13">
        <v>1</v>
      </c>
    </row>
    <row r="67" spans="1:5">
      <c r="A67" s="13" t="s">
        <v>226</v>
      </c>
      <c r="B67" s="13">
        <v>2025</v>
      </c>
      <c r="C67" s="13" t="s">
        <v>224</v>
      </c>
      <c r="D67" s="13" t="s">
        <v>110</v>
      </c>
      <c r="E67" s="13">
        <v>1</v>
      </c>
    </row>
    <row r="68" spans="1:5">
      <c r="A68" s="13" t="s">
        <v>87</v>
      </c>
      <c r="B68" s="13">
        <v>2020</v>
      </c>
      <c r="C68" s="13" t="s">
        <v>111</v>
      </c>
      <c r="D68" s="13" t="s">
        <v>110</v>
      </c>
      <c r="E68" s="13">
        <v>4</v>
      </c>
    </row>
    <row r="69" spans="1:5">
      <c r="A69" s="13" t="s">
        <v>87</v>
      </c>
      <c r="B69" s="13">
        <v>2021</v>
      </c>
      <c r="C69" s="13" t="s">
        <v>111</v>
      </c>
      <c r="D69" s="13" t="s">
        <v>110</v>
      </c>
      <c r="E69" s="13">
        <v>9</v>
      </c>
    </row>
    <row r="70" spans="1:5">
      <c r="A70" s="13" t="s">
        <v>87</v>
      </c>
      <c r="B70" s="13">
        <v>2022</v>
      </c>
      <c r="C70" s="13" t="s">
        <v>109</v>
      </c>
      <c r="D70" s="13" t="s">
        <v>110</v>
      </c>
      <c r="E70" s="13">
        <v>1</v>
      </c>
    </row>
    <row r="71" spans="1:5">
      <c r="A71" s="13" t="s">
        <v>87</v>
      </c>
      <c r="B71" s="13">
        <v>2022</v>
      </c>
      <c r="C71" s="13" t="s">
        <v>111</v>
      </c>
      <c r="D71" s="13" t="s">
        <v>110</v>
      </c>
      <c r="E71" s="13">
        <v>11</v>
      </c>
    </row>
    <row r="72" spans="1:5">
      <c r="A72" s="13" t="s">
        <v>87</v>
      </c>
      <c r="B72" s="13">
        <v>2023</v>
      </c>
      <c r="C72" s="13" t="s">
        <v>111</v>
      </c>
      <c r="D72" s="13" t="s">
        <v>110</v>
      </c>
      <c r="E72" s="13">
        <v>6</v>
      </c>
    </row>
    <row r="73" spans="1:5">
      <c r="A73" s="13" t="s">
        <v>87</v>
      </c>
      <c r="B73" s="13">
        <v>2023</v>
      </c>
      <c r="C73" s="13" t="s">
        <v>111</v>
      </c>
      <c r="D73" s="13" t="s">
        <v>112</v>
      </c>
      <c r="E73" s="13">
        <v>2</v>
      </c>
    </row>
    <row r="74" spans="1:5">
      <c r="A74" s="13" t="s">
        <v>87</v>
      </c>
      <c r="B74" s="13">
        <v>2024</v>
      </c>
      <c r="C74" s="13" t="s">
        <v>224</v>
      </c>
      <c r="D74" s="13" t="s">
        <v>110</v>
      </c>
      <c r="E74" s="13">
        <v>3</v>
      </c>
    </row>
    <row r="75" spans="1:5">
      <c r="A75" s="13" t="s">
        <v>87</v>
      </c>
      <c r="B75" s="13">
        <v>2024</v>
      </c>
      <c r="C75" s="13" t="s">
        <v>224</v>
      </c>
      <c r="D75" s="13" t="s">
        <v>112</v>
      </c>
      <c r="E75" s="13">
        <v>1</v>
      </c>
    </row>
    <row r="76" spans="1:5">
      <c r="A76" s="13" t="s">
        <v>87</v>
      </c>
      <c r="B76" s="13">
        <v>2024</v>
      </c>
      <c r="C76" s="13" t="s">
        <v>222</v>
      </c>
      <c r="D76" s="13" t="s">
        <v>110</v>
      </c>
      <c r="E76" s="13">
        <v>6</v>
      </c>
    </row>
    <row r="77" spans="1:5">
      <c r="A77" s="13" t="s">
        <v>87</v>
      </c>
      <c r="B77" s="13">
        <v>2024</v>
      </c>
      <c r="C77" s="13" t="s">
        <v>222</v>
      </c>
      <c r="D77" s="13" t="s">
        <v>112</v>
      </c>
      <c r="E77" s="13">
        <v>2</v>
      </c>
    </row>
    <row r="78" spans="1:5">
      <c r="A78" s="13" t="s">
        <v>87</v>
      </c>
      <c r="B78" s="13">
        <v>2025</v>
      </c>
      <c r="C78" s="13" t="s">
        <v>222</v>
      </c>
      <c r="D78" s="13" t="s">
        <v>110</v>
      </c>
      <c r="E78" s="13">
        <v>4</v>
      </c>
    </row>
    <row r="79" spans="1:5">
      <c r="A79" s="13" t="s">
        <v>124</v>
      </c>
      <c r="B79" s="13">
        <v>2023</v>
      </c>
      <c r="C79" s="13" t="s">
        <v>111</v>
      </c>
      <c r="D79" s="13" t="s">
        <v>110</v>
      </c>
      <c r="E79" s="13">
        <v>1</v>
      </c>
    </row>
    <row r="80" spans="1:5">
      <c r="A80" s="13" t="s">
        <v>125</v>
      </c>
      <c r="B80" s="13">
        <v>2021</v>
      </c>
      <c r="C80" s="13" t="s">
        <v>111</v>
      </c>
      <c r="D80" s="13" t="s">
        <v>110</v>
      </c>
      <c r="E80" s="13">
        <v>1</v>
      </c>
    </row>
    <row r="81" spans="1:5">
      <c r="A81" s="13" t="s">
        <v>125</v>
      </c>
      <c r="B81" s="13">
        <v>2022</v>
      </c>
      <c r="C81" s="13" t="s">
        <v>111</v>
      </c>
      <c r="D81" s="13" t="s">
        <v>110</v>
      </c>
      <c r="E81" s="13">
        <v>1</v>
      </c>
    </row>
    <row r="82" spans="1:5">
      <c r="A82" s="13" t="s">
        <v>125</v>
      </c>
      <c r="B82" s="13">
        <v>2024</v>
      </c>
      <c r="C82" s="13" t="s">
        <v>222</v>
      </c>
      <c r="D82" s="13" t="s">
        <v>110</v>
      </c>
      <c r="E82" s="13">
        <v>1</v>
      </c>
    </row>
    <row r="83" spans="1:5">
      <c r="A83" s="13" t="s">
        <v>125</v>
      </c>
      <c r="B83" s="13">
        <v>2025</v>
      </c>
      <c r="C83" s="13" t="s">
        <v>222</v>
      </c>
      <c r="D83" s="13" t="s">
        <v>112</v>
      </c>
      <c r="E83" s="13">
        <v>1</v>
      </c>
    </row>
    <row r="84" spans="1:5">
      <c r="A84" s="13" t="s">
        <v>227</v>
      </c>
      <c r="B84" s="13">
        <v>2025</v>
      </c>
      <c r="C84" s="13" t="s">
        <v>222</v>
      </c>
      <c r="D84" s="13" t="s">
        <v>110</v>
      </c>
      <c r="E84" s="13">
        <v>1</v>
      </c>
    </row>
    <row r="85" spans="1:5">
      <c r="A85" s="13" t="s">
        <v>88</v>
      </c>
      <c r="B85" s="13">
        <v>2020</v>
      </c>
      <c r="C85" s="13" t="s">
        <v>111</v>
      </c>
      <c r="D85" s="13" t="s">
        <v>110</v>
      </c>
      <c r="E85" s="13">
        <v>11</v>
      </c>
    </row>
    <row r="86" spans="1:5">
      <c r="A86" s="13" t="s">
        <v>88</v>
      </c>
      <c r="B86" s="13">
        <v>2020</v>
      </c>
      <c r="C86" s="13" t="s">
        <v>111</v>
      </c>
      <c r="D86" s="13" t="s">
        <v>112</v>
      </c>
      <c r="E86" s="13">
        <v>8</v>
      </c>
    </row>
    <row r="87" spans="1:5">
      <c r="A87" s="13" t="s">
        <v>88</v>
      </c>
      <c r="B87" s="13">
        <v>2021</v>
      </c>
      <c r="C87" s="13" t="s">
        <v>109</v>
      </c>
      <c r="D87" s="13" t="s">
        <v>110</v>
      </c>
      <c r="E87" s="13">
        <v>1</v>
      </c>
    </row>
    <row r="88" spans="1:5">
      <c r="A88" s="13" t="s">
        <v>88</v>
      </c>
      <c r="B88" s="13">
        <v>2021</v>
      </c>
      <c r="C88" s="13" t="s">
        <v>111</v>
      </c>
      <c r="D88" s="13" t="s">
        <v>110</v>
      </c>
      <c r="E88" s="13">
        <v>8</v>
      </c>
    </row>
    <row r="89" spans="1:5">
      <c r="A89" s="13" t="s">
        <v>88</v>
      </c>
      <c r="B89" s="13">
        <v>2021</v>
      </c>
      <c r="C89" s="13" t="s">
        <v>111</v>
      </c>
      <c r="D89" s="13" t="s">
        <v>112</v>
      </c>
      <c r="E89" s="13">
        <v>3</v>
      </c>
    </row>
    <row r="90" spans="1:5">
      <c r="A90" s="13" t="s">
        <v>88</v>
      </c>
      <c r="B90" s="13">
        <v>2022</v>
      </c>
      <c r="C90" s="13" t="s">
        <v>111</v>
      </c>
      <c r="D90" s="13" t="s">
        <v>110</v>
      </c>
      <c r="E90" s="13">
        <v>5</v>
      </c>
    </row>
    <row r="91" spans="1:5">
      <c r="A91" s="13" t="s">
        <v>88</v>
      </c>
      <c r="B91" s="13">
        <v>2022</v>
      </c>
      <c r="C91" s="13" t="s">
        <v>111</v>
      </c>
      <c r="D91" s="13" t="s">
        <v>112</v>
      </c>
      <c r="E91" s="13">
        <v>2</v>
      </c>
    </row>
    <row r="92" spans="1:5">
      <c r="A92" s="13" t="s">
        <v>88</v>
      </c>
      <c r="B92" s="13">
        <v>2023</v>
      </c>
      <c r="C92" s="13" t="s">
        <v>111</v>
      </c>
      <c r="D92" s="13" t="s">
        <v>110</v>
      </c>
      <c r="E92" s="13">
        <v>4</v>
      </c>
    </row>
    <row r="93" spans="1:5">
      <c r="A93" s="13" t="s">
        <v>88</v>
      </c>
      <c r="B93" s="13">
        <v>2023</v>
      </c>
      <c r="C93" s="13" t="s">
        <v>111</v>
      </c>
      <c r="D93" s="13" t="s">
        <v>112</v>
      </c>
      <c r="E93" s="13">
        <v>7</v>
      </c>
    </row>
    <row r="94" spans="1:5">
      <c r="A94" s="13" t="s">
        <v>88</v>
      </c>
      <c r="B94" s="13">
        <v>2024</v>
      </c>
      <c r="C94" s="13" t="s">
        <v>224</v>
      </c>
      <c r="D94" s="13" t="s">
        <v>112</v>
      </c>
      <c r="E94" s="13">
        <v>2</v>
      </c>
    </row>
    <row r="95" spans="1:5">
      <c r="A95" s="13" t="s">
        <v>88</v>
      </c>
      <c r="B95" s="13">
        <v>2024</v>
      </c>
      <c r="C95" s="13" t="s">
        <v>222</v>
      </c>
      <c r="D95" s="13" t="s">
        <v>110</v>
      </c>
      <c r="E95" s="13">
        <v>5</v>
      </c>
    </row>
    <row r="96" spans="1:5">
      <c r="A96" s="13" t="s">
        <v>88</v>
      </c>
      <c r="B96" s="13">
        <v>2024</v>
      </c>
      <c r="C96" s="13" t="s">
        <v>222</v>
      </c>
      <c r="D96" s="13" t="s">
        <v>112</v>
      </c>
      <c r="E96" s="13">
        <v>8</v>
      </c>
    </row>
    <row r="97" spans="1:5">
      <c r="A97" s="13" t="s">
        <v>88</v>
      </c>
      <c r="B97" s="13">
        <v>2025</v>
      </c>
      <c r="C97" s="13" t="s">
        <v>222</v>
      </c>
      <c r="D97" s="13" t="s">
        <v>110</v>
      </c>
      <c r="E97" s="13">
        <v>5</v>
      </c>
    </row>
    <row r="98" spans="1:5">
      <c r="A98" s="13" t="s">
        <v>88</v>
      </c>
      <c r="B98" s="13">
        <v>2025</v>
      </c>
      <c r="C98" s="13" t="s">
        <v>222</v>
      </c>
      <c r="D98" s="13" t="s">
        <v>112</v>
      </c>
      <c r="E98" s="13">
        <v>3</v>
      </c>
    </row>
    <row r="99" spans="1:5">
      <c r="A99" s="13" t="s">
        <v>228</v>
      </c>
      <c r="B99" s="13">
        <v>2025</v>
      </c>
      <c r="C99" s="13" t="s">
        <v>222</v>
      </c>
      <c r="D99" s="13" t="s">
        <v>112</v>
      </c>
      <c r="E99" s="13">
        <v>1</v>
      </c>
    </row>
    <row r="100" spans="1:5">
      <c r="A100" s="13" t="s">
        <v>126</v>
      </c>
      <c r="B100" s="13">
        <v>2022</v>
      </c>
      <c r="C100" s="13" t="s">
        <v>109</v>
      </c>
      <c r="D100" s="13" t="s">
        <v>110</v>
      </c>
      <c r="E100" s="13">
        <v>1</v>
      </c>
    </row>
    <row r="101" spans="1:5">
      <c r="A101" s="13" t="s">
        <v>126</v>
      </c>
      <c r="B101" s="13">
        <v>2023</v>
      </c>
      <c r="C101" s="13" t="s">
        <v>111</v>
      </c>
      <c r="D101" s="13" t="s">
        <v>110</v>
      </c>
      <c r="E101" s="13">
        <v>1</v>
      </c>
    </row>
    <row r="102" spans="1:5">
      <c r="A102" s="13" t="s">
        <v>126</v>
      </c>
      <c r="B102" s="13">
        <v>2024</v>
      </c>
      <c r="C102" s="13" t="s">
        <v>222</v>
      </c>
      <c r="D102" s="13" t="s">
        <v>110</v>
      </c>
      <c r="E102" s="13">
        <v>1</v>
      </c>
    </row>
    <row r="103" spans="1:5">
      <c r="A103" s="13" t="s">
        <v>127</v>
      </c>
      <c r="B103" s="13">
        <v>2022</v>
      </c>
      <c r="C103" s="13" t="s">
        <v>111</v>
      </c>
      <c r="D103" s="13" t="s">
        <v>112</v>
      </c>
      <c r="E103" s="13">
        <v>1</v>
      </c>
    </row>
    <row r="104" spans="1:5">
      <c r="A104" s="13" t="s">
        <v>127</v>
      </c>
      <c r="B104" s="13">
        <v>2023</v>
      </c>
      <c r="C104" s="13" t="s">
        <v>111</v>
      </c>
      <c r="D104" s="13" t="s">
        <v>110</v>
      </c>
      <c r="E104" s="13">
        <v>1</v>
      </c>
    </row>
    <row r="105" spans="1:5">
      <c r="A105" s="13" t="s">
        <v>89</v>
      </c>
      <c r="B105" s="13">
        <v>2020</v>
      </c>
      <c r="C105" s="13" t="s">
        <v>109</v>
      </c>
      <c r="D105" s="13" t="s">
        <v>110</v>
      </c>
      <c r="E105" s="13">
        <v>1</v>
      </c>
    </row>
    <row r="106" spans="1:5">
      <c r="A106" s="13" t="s">
        <v>89</v>
      </c>
      <c r="B106" s="13">
        <v>2020</v>
      </c>
      <c r="C106" s="13" t="s">
        <v>109</v>
      </c>
      <c r="D106" s="13" t="s">
        <v>112</v>
      </c>
      <c r="E106" s="13">
        <v>1</v>
      </c>
    </row>
    <row r="107" spans="1:5">
      <c r="A107" s="13" t="s">
        <v>89</v>
      </c>
      <c r="B107" s="13">
        <v>2020</v>
      </c>
      <c r="C107" s="13" t="s">
        <v>111</v>
      </c>
      <c r="D107" s="13" t="s">
        <v>110</v>
      </c>
      <c r="E107" s="13">
        <v>2</v>
      </c>
    </row>
    <row r="108" spans="1:5">
      <c r="A108" s="13" t="s">
        <v>89</v>
      </c>
      <c r="B108" s="13">
        <v>2020</v>
      </c>
      <c r="C108" s="13" t="s">
        <v>111</v>
      </c>
      <c r="D108" s="13" t="s">
        <v>112</v>
      </c>
      <c r="E108" s="13">
        <v>3</v>
      </c>
    </row>
    <row r="109" spans="1:5">
      <c r="A109" s="13" t="s">
        <v>89</v>
      </c>
      <c r="B109" s="13">
        <v>2021</v>
      </c>
      <c r="C109" s="13" t="s">
        <v>109</v>
      </c>
      <c r="D109" s="13" t="s">
        <v>110</v>
      </c>
      <c r="E109" s="13">
        <v>1</v>
      </c>
    </row>
    <row r="110" spans="1:5">
      <c r="A110" s="13" t="s">
        <v>89</v>
      </c>
      <c r="B110" s="13">
        <v>2021</v>
      </c>
      <c r="C110" s="13" t="s">
        <v>111</v>
      </c>
      <c r="D110" s="13" t="s">
        <v>110</v>
      </c>
      <c r="E110" s="13">
        <v>5</v>
      </c>
    </row>
    <row r="111" spans="1:5">
      <c r="A111" s="13" t="s">
        <v>89</v>
      </c>
      <c r="B111" s="13">
        <v>2021</v>
      </c>
      <c r="C111" s="13" t="s">
        <v>111</v>
      </c>
      <c r="D111" s="13" t="s">
        <v>112</v>
      </c>
      <c r="E111" s="13">
        <v>4</v>
      </c>
    </row>
    <row r="112" spans="1:5">
      <c r="A112" s="13" t="s">
        <v>89</v>
      </c>
      <c r="B112" s="13">
        <v>2022</v>
      </c>
      <c r="C112" s="13" t="s">
        <v>109</v>
      </c>
      <c r="D112" s="13" t="s">
        <v>110</v>
      </c>
      <c r="E112" s="13">
        <v>1</v>
      </c>
    </row>
    <row r="113" spans="1:5">
      <c r="A113" s="13" t="s">
        <v>89</v>
      </c>
      <c r="B113" s="13">
        <v>2022</v>
      </c>
      <c r="C113" s="13" t="s">
        <v>109</v>
      </c>
      <c r="D113" s="13" t="s">
        <v>112</v>
      </c>
      <c r="E113" s="13">
        <v>2</v>
      </c>
    </row>
    <row r="114" spans="1:5">
      <c r="A114" s="13" t="s">
        <v>89</v>
      </c>
      <c r="B114" s="13">
        <v>2022</v>
      </c>
      <c r="C114" s="13" t="s">
        <v>111</v>
      </c>
      <c r="D114" s="13" t="s">
        <v>110</v>
      </c>
      <c r="E114" s="13">
        <v>7</v>
      </c>
    </row>
    <row r="115" spans="1:5">
      <c r="A115" s="13" t="s">
        <v>89</v>
      </c>
      <c r="B115" s="13">
        <v>2022</v>
      </c>
      <c r="C115" s="13" t="s">
        <v>111</v>
      </c>
      <c r="D115" s="13" t="s">
        <v>112</v>
      </c>
      <c r="E115" s="13">
        <v>6</v>
      </c>
    </row>
    <row r="116" spans="1:5">
      <c r="A116" s="13" t="s">
        <v>89</v>
      </c>
      <c r="B116" s="13">
        <v>2023</v>
      </c>
      <c r="C116" s="13" t="s">
        <v>109</v>
      </c>
      <c r="D116" s="13" t="s">
        <v>110</v>
      </c>
      <c r="E116" s="13">
        <v>2</v>
      </c>
    </row>
    <row r="117" spans="1:5">
      <c r="A117" s="13" t="s">
        <v>89</v>
      </c>
      <c r="B117" s="13">
        <v>2023</v>
      </c>
      <c r="C117" s="13" t="s">
        <v>109</v>
      </c>
      <c r="D117" s="13" t="s">
        <v>112</v>
      </c>
      <c r="E117" s="13">
        <v>1</v>
      </c>
    </row>
    <row r="118" spans="1:5">
      <c r="A118" s="13" t="s">
        <v>89</v>
      </c>
      <c r="B118" s="13">
        <v>2023</v>
      </c>
      <c r="C118" s="13" t="s">
        <v>111</v>
      </c>
      <c r="D118" s="13" t="s">
        <v>110</v>
      </c>
      <c r="E118" s="13">
        <v>13</v>
      </c>
    </row>
    <row r="119" spans="1:5">
      <c r="A119" s="13" t="s">
        <v>89</v>
      </c>
      <c r="B119" s="13">
        <v>2023</v>
      </c>
      <c r="C119" s="13" t="s">
        <v>111</v>
      </c>
      <c r="D119" s="13" t="s">
        <v>112</v>
      </c>
      <c r="E119" s="13">
        <v>7</v>
      </c>
    </row>
    <row r="120" spans="1:5">
      <c r="A120" s="13" t="s">
        <v>89</v>
      </c>
      <c r="B120" s="13">
        <v>2024</v>
      </c>
      <c r="C120" s="13" t="s">
        <v>224</v>
      </c>
      <c r="D120" s="13" t="s">
        <v>110</v>
      </c>
      <c r="E120" s="13">
        <v>3</v>
      </c>
    </row>
    <row r="121" spans="1:5">
      <c r="A121" s="13" t="s">
        <v>89</v>
      </c>
      <c r="B121" s="13">
        <v>2024</v>
      </c>
      <c r="C121" s="13" t="s">
        <v>224</v>
      </c>
      <c r="D121" s="13" t="s">
        <v>112</v>
      </c>
      <c r="E121" s="13">
        <v>1</v>
      </c>
    </row>
    <row r="122" spans="1:5">
      <c r="A122" s="13" t="s">
        <v>89</v>
      </c>
      <c r="B122" s="13">
        <v>2024</v>
      </c>
      <c r="C122" s="13" t="s">
        <v>222</v>
      </c>
      <c r="D122" s="13" t="s">
        <v>110</v>
      </c>
      <c r="E122" s="13">
        <v>7</v>
      </c>
    </row>
    <row r="123" spans="1:5">
      <c r="A123" s="13" t="s">
        <v>89</v>
      </c>
      <c r="B123" s="13">
        <v>2024</v>
      </c>
      <c r="C123" s="13" t="s">
        <v>222</v>
      </c>
      <c r="D123" s="13" t="s">
        <v>112</v>
      </c>
      <c r="E123" s="13">
        <v>3</v>
      </c>
    </row>
    <row r="124" spans="1:5">
      <c r="A124" s="13" t="s">
        <v>89</v>
      </c>
      <c r="B124" s="13">
        <v>2025</v>
      </c>
      <c r="C124" s="13" t="s">
        <v>224</v>
      </c>
      <c r="D124" s="13" t="s">
        <v>110</v>
      </c>
      <c r="E124" s="13">
        <v>2</v>
      </c>
    </row>
    <row r="125" spans="1:5">
      <c r="A125" s="13" t="s">
        <v>89</v>
      </c>
      <c r="B125" s="13">
        <v>2025</v>
      </c>
      <c r="C125" s="13" t="s">
        <v>224</v>
      </c>
      <c r="D125" s="13" t="s">
        <v>112</v>
      </c>
      <c r="E125" s="13">
        <v>2</v>
      </c>
    </row>
    <row r="126" spans="1:5">
      <c r="A126" s="13" t="s">
        <v>89</v>
      </c>
      <c r="B126" s="13">
        <v>2025</v>
      </c>
      <c r="C126" s="13" t="s">
        <v>222</v>
      </c>
      <c r="D126" s="13" t="s">
        <v>110</v>
      </c>
      <c r="E126" s="13">
        <v>4</v>
      </c>
    </row>
    <row r="127" spans="1:5">
      <c r="A127" s="13" t="s">
        <v>89</v>
      </c>
      <c r="B127" s="13">
        <v>2025</v>
      </c>
      <c r="C127" s="13" t="s">
        <v>222</v>
      </c>
      <c r="D127" s="13" t="s">
        <v>112</v>
      </c>
      <c r="E127" s="13">
        <v>1</v>
      </c>
    </row>
    <row r="128" spans="1:5">
      <c r="A128" s="13" t="s">
        <v>229</v>
      </c>
      <c r="B128" s="13">
        <v>2024</v>
      </c>
      <c r="C128" s="13" t="s">
        <v>222</v>
      </c>
      <c r="D128" s="13" t="s">
        <v>112</v>
      </c>
      <c r="E128" s="13">
        <v>1</v>
      </c>
    </row>
    <row r="129" spans="1:5">
      <c r="A129" s="13" t="s">
        <v>90</v>
      </c>
      <c r="B129" s="13">
        <v>2023</v>
      </c>
      <c r="C129" s="13" t="s">
        <v>111</v>
      </c>
      <c r="D129" s="13" t="s">
        <v>112</v>
      </c>
      <c r="E129" s="13">
        <v>1</v>
      </c>
    </row>
    <row r="130" spans="1:5">
      <c r="A130" s="13" t="s">
        <v>90</v>
      </c>
      <c r="B130" s="13">
        <v>2025</v>
      </c>
      <c r="C130" s="13" t="s">
        <v>222</v>
      </c>
      <c r="D130" s="13" t="s">
        <v>112</v>
      </c>
      <c r="E130" s="13">
        <v>1</v>
      </c>
    </row>
    <row r="131" spans="1:5">
      <c r="A131" s="13" t="s">
        <v>91</v>
      </c>
      <c r="B131" s="13">
        <v>2023</v>
      </c>
      <c r="C131" s="13" t="s">
        <v>111</v>
      </c>
      <c r="D131" s="13" t="s">
        <v>110</v>
      </c>
      <c r="E131" s="13">
        <v>1</v>
      </c>
    </row>
    <row r="132" spans="1:5">
      <c r="A132" s="13" t="s">
        <v>92</v>
      </c>
      <c r="B132" s="13">
        <v>2020</v>
      </c>
      <c r="C132" s="13" t="s">
        <v>111</v>
      </c>
      <c r="D132" s="13" t="s">
        <v>110</v>
      </c>
      <c r="E132" s="13">
        <v>2</v>
      </c>
    </row>
    <row r="133" spans="1:5">
      <c r="A133" s="13" t="s">
        <v>92</v>
      </c>
      <c r="B133" s="13">
        <v>2020</v>
      </c>
      <c r="C133" s="13" t="s">
        <v>111</v>
      </c>
      <c r="D133" s="13" t="s">
        <v>112</v>
      </c>
      <c r="E133" s="13">
        <v>1</v>
      </c>
    </row>
    <row r="134" spans="1:5">
      <c r="A134" s="13" t="s">
        <v>92</v>
      </c>
      <c r="B134" s="13">
        <v>2021</v>
      </c>
      <c r="C134" s="13" t="s">
        <v>111</v>
      </c>
      <c r="D134" s="13" t="s">
        <v>110</v>
      </c>
      <c r="E134" s="13">
        <v>3</v>
      </c>
    </row>
    <row r="135" spans="1:5">
      <c r="A135" s="13" t="s">
        <v>92</v>
      </c>
      <c r="B135" s="13">
        <v>2022</v>
      </c>
      <c r="C135" s="13" t="s">
        <v>111</v>
      </c>
      <c r="D135" s="13" t="s">
        <v>110</v>
      </c>
      <c r="E135" s="13">
        <v>1</v>
      </c>
    </row>
    <row r="136" spans="1:5">
      <c r="A136" s="13" t="s">
        <v>92</v>
      </c>
      <c r="B136" s="13">
        <v>2023</v>
      </c>
      <c r="C136" s="13" t="s">
        <v>109</v>
      </c>
      <c r="D136" s="13" t="s">
        <v>112</v>
      </c>
      <c r="E136" s="13">
        <v>1</v>
      </c>
    </row>
    <row r="137" spans="1:5">
      <c r="A137" s="13" t="s">
        <v>92</v>
      </c>
      <c r="B137" s="13">
        <v>2023</v>
      </c>
      <c r="C137" s="13" t="s">
        <v>111</v>
      </c>
      <c r="D137" s="13" t="s">
        <v>110</v>
      </c>
      <c r="E137" s="13">
        <v>1</v>
      </c>
    </row>
    <row r="138" spans="1:5">
      <c r="A138" s="13" t="s">
        <v>92</v>
      </c>
      <c r="B138" s="13">
        <v>2023</v>
      </c>
      <c r="C138" s="13" t="s">
        <v>111</v>
      </c>
      <c r="D138" s="13" t="s">
        <v>112</v>
      </c>
      <c r="E138" s="13">
        <v>3</v>
      </c>
    </row>
    <row r="139" spans="1:5">
      <c r="A139" s="13" t="s">
        <v>92</v>
      </c>
      <c r="B139" s="13">
        <v>2024</v>
      </c>
      <c r="C139" s="13" t="s">
        <v>222</v>
      </c>
      <c r="D139" s="13" t="s">
        <v>110</v>
      </c>
      <c r="E139" s="13">
        <v>1</v>
      </c>
    </row>
    <row r="140" spans="1:5">
      <c r="A140" s="13" t="s">
        <v>92</v>
      </c>
      <c r="B140" s="13">
        <v>2024</v>
      </c>
      <c r="C140" s="13" t="s">
        <v>222</v>
      </c>
      <c r="D140" s="13" t="s">
        <v>112</v>
      </c>
      <c r="E140" s="13">
        <v>1</v>
      </c>
    </row>
    <row r="141" spans="1:5">
      <c r="A141" s="13" t="s">
        <v>128</v>
      </c>
      <c r="B141" s="13">
        <v>2021</v>
      </c>
      <c r="C141" s="13" t="s">
        <v>111</v>
      </c>
      <c r="D141" s="13" t="s">
        <v>110</v>
      </c>
      <c r="E141" s="13">
        <v>1</v>
      </c>
    </row>
    <row r="142" spans="1:5">
      <c r="A142" s="13" t="s">
        <v>128</v>
      </c>
      <c r="B142" s="13">
        <v>2022</v>
      </c>
      <c r="C142" s="13" t="s">
        <v>111</v>
      </c>
      <c r="D142" s="13" t="s">
        <v>110</v>
      </c>
      <c r="E142" s="13">
        <v>2</v>
      </c>
    </row>
    <row r="143" spans="1:5">
      <c r="A143" s="13" t="s">
        <v>128</v>
      </c>
      <c r="B143" s="13">
        <v>2024</v>
      </c>
      <c r="C143" s="13" t="s">
        <v>222</v>
      </c>
      <c r="D143" s="13" t="s">
        <v>110</v>
      </c>
      <c r="E143" s="13">
        <v>1</v>
      </c>
    </row>
    <row r="144" spans="1:5">
      <c r="A144" s="13" t="s">
        <v>128</v>
      </c>
      <c r="B144" s="13">
        <v>2024</v>
      </c>
      <c r="C144" s="13" t="s">
        <v>222</v>
      </c>
      <c r="D144" s="13" t="s">
        <v>112</v>
      </c>
      <c r="E144" s="13">
        <v>1</v>
      </c>
    </row>
    <row r="145" spans="1:5">
      <c r="A145" s="13" t="s">
        <v>129</v>
      </c>
      <c r="B145" s="13">
        <v>2021</v>
      </c>
      <c r="C145" s="13" t="s">
        <v>111</v>
      </c>
      <c r="D145" s="13" t="s">
        <v>110</v>
      </c>
      <c r="E145" s="13">
        <v>1</v>
      </c>
    </row>
    <row r="146" spans="1:5">
      <c r="A146" s="13" t="s">
        <v>130</v>
      </c>
      <c r="B146" s="13">
        <v>2023</v>
      </c>
      <c r="C146" s="13" t="s">
        <v>111</v>
      </c>
      <c r="D146" s="13" t="s">
        <v>110</v>
      </c>
      <c r="E146" s="13">
        <v>1</v>
      </c>
    </row>
    <row r="147" spans="1:5">
      <c r="A147" s="13" t="s">
        <v>131</v>
      </c>
      <c r="B147" s="13">
        <v>2023</v>
      </c>
      <c r="C147" s="13" t="s">
        <v>111</v>
      </c>
      <c r="D147" s="13" t="s">
        <v>110</v>
      </c>
      <c r="E147" s="13">
        <v>1</v>
      </c>
    </row>
    <row r="148" spans="1:5">
      <c r="A148" s="13" t="s">
        <v>131</v>
      </c>
      <c r="B148" s="13">
        <v>2024</v>
      </c>
      <c r="C148" s="13" t="s">
        <v>222</v>
      </c>
      <c r="D148" s="13" t="s">
        <v>110</v>
      </c>
      <c r="E148" s="13">
        <v>1</v>
      </c>
    </row>
    <row r="149" spans="1:5">
      <c r="A149" s="13" t="s">
        <v>132</v>
      </c>
      <c r="B149" s="13">
        <v>2023</v>
      </c>
      <c r="C149" s="13" t="s">
        <v>111</v>
      </c>
      <c r="D149" s="13" t="s">
        <v>110</v>
      </c>
      <c r="E149" s="13">
        <v>1</v>
      </c>
    </row>
    <row r="150" spans="1:5">
      <c r="A150" s="13" t="s">
        <v>133</v>
      </c>
      <c r="B150" s="13">
        <v>2022</v>
      </c>
      <c r="C150" s="13" t="s">
        <v>109</v>
      </c>
      <c r="D150" s="13" t="s">
        <v>110</v>
      </c>
      <c r="E150" s="13">
        <v>1</v>
      </c>
    </row>
    <row r="151" spans="1:5">
      <c r="A151" s="13" t="s">
        <v>133</v>
      </c>
      <c r="B151" s="13">
        <v>2023</v>
      </c>
      <c r="C151" s="13" t="s">
        <v>111</v>
      </c>
      <c r="D151" s="13" t="s">
        <v>110</v>
      </c>
      <c r="E151" s="13">
        <v>1</v>
      </c>
    </row>
    <row r="152" spans="1:5">
      <c r="A152" s="13" t="s">
        <v>134</v>
      </c>
      <c r="B152" s="13">
        <v>2020</v>
      </c>
      <c r="C152" s="13" t="s">
        <v>111</v>
      </c>
      <c r="D152" s="13" t="s">
        <v>110</v>
      </c>
      <c r="E152" s="13">
        <v>1</v>
      </c>
    </row>
    <row r="153" spans="1:5">
      <c r="A153" s="13" t="s">
        <v>134</v>
      </c>
      <c r="B153" s="13">
        <v>2025</v>
      </c>
      <c r="C153" s="13" t="s">
        <v>222</v>
      </c>
      <c r="D153" s="13" t="s">
        <v>110</v>
      </c>
      <c r="E153" s="13">
        <v>1</v>
      </c>
    </row>
    <row r="154" spans="1:5">
      <c r="A154" s="13" t="s">
        <v>135</v>
      </c>
      <c r="B154" s="13">
        <v>2021</v>
      </c>
      <c r="C154" s="13" t="s">
        <v>111</v>
      </c>
      <c r="D154" s="13" t="s">
        <v>112</v>
      </c>
      <c r="E154" s="13">
        <v>2</v>
      </c>
    </row>
    <row r="155" spans="1:5">
      <c r="A155" s="13" t="s">
        <v>135</v>
      </c>
      <c r="B155" s="13">
        <v>2023</v>
      </c>
      <c r="C155" s="13" t="s">
        <v>111</v>
      </c>
      <c r="D155" s="13" t="s">
        <v>112</v>
      </c>
      <c r="E155" s="13">
        <v>1</v>
      </c>
    </row>
    <row r="156" spans="1:5">
      <c r="A156" s="13" t="s">
        <v>135</v>
      </c>
      <c r="B156" s="13">
        <v>2024</v>
      </c>
      <c r="C156" s="13" t="s">
        <v>222</v>
      </c>
      <c r="D156" s="13" t="s">
        <v>110</v>
      </c>
      <c r="E156" s="13">
        <v>1</v>
      </c>
    </row>
    <row r="157" spans="1:5">
      <c r="A157" s="13" t="s">
        <v>93</v>
      </c>
      <c r="B157" s="13">
        <v>2021</v>
      </c>
      <c r="C157" s="13" t="s">
        <v>111</v>
      </c>
      <c r="D157" s="13" t="s">
        <v>110</v>
      </c>
      <c r="E157" s="13">
        <v>2</v>
      </c>
    </row>
    <row r="158" spans="1:5">
      <c r="A158" s="13" t="s">
        <v>93</v>
      </c>
      <c r="B158" s="13">
        <v>2023</v>
      </c>
      <c r="C158" s="13" t="s">
        <v>111</v>
      </c>
      <c r="D158" s="13" t="s">
        <v>110</v>
      </c>
      <c r="E158" s="13">
        <v>1</v>
      </c>
    </row>
    <row r="159" spans="1:5">
      <c r="A159" s="13" t="s">
        <v>93</v>
      </c>
      <c r="B159" s="13">
        <v>2023</v>
      </c>
      <c r="C159" s="13" t="s">
        <v>111</v>
      </c>
      <c r="D159" s="13" t="s">
        <v>112</v>
      </c>
      <c r="E159" s="13">
        <v>1</v>
      </c>
    </row>
    <row r="160" spans="1:5">
      <c r="A160" s="13" t="s">
        <v>93</v>
      </c>
      <c r="B160" s="13">
        <v>2024</v>
      </c>
      <c r="C160" s="13" t="s">
        <v>224</v>
      </c>
      <c r="D160" s="13" t="s">
        <v>110</v>
      </c>
      <c r="E160" s="13">
        <v>1</v>
      </c>
    </row>
    <row r="161" spans="1:5">
      <c r="A161" s="13" t="s">
        <v>93</v>
      </c>
      <c r="B161" s="13">
        <v>2024</v>
      </c>
      <c r="C161" s="13" t="s">
        <v>222</v>
      </c>
      <c r="D161" s="13" t="s">
        <v>110</v>
      </c>
      <c r="E161" s="13">
        <v>2</v>
      </c>
    </row>
    <row r="162" spans="1:5">
      <c r="A162" s="13" t="s">
        <v>93</v>
      </c>
      <c r="B162" s="13">
        <v>2025</v>
      </c>
      <c r="C162" s="13" t="s">
        <v>222</v>
      </c>
      <c r="D162" s="13" t="s">
        <v>112</v>
      </c>
      <c r="E162" s="13">
        <v>1</v>
      </c>
    </row>
    <row r="163" spans="1:5">
      <c r="A163" s="13" t="s">
        <v>136</v>
      </c>
      <c r="B163" s="13">
        <v>2023</v>
      </c>
      <c r="C163" s="13" t="s">
        <v>111</v>
      </c>
      <c r="D163" s="13" t="s">
        <v>110</v>
      </c>
      <c r="E163" s="13">
        <v>1</v>
      </c>
    </row>
    <row r="164" spans="1:5">
      <c r="A164" s="13" t="s">
        <v>136</v>
      </c>
      <c r="B164" s="13">
        <v>2024</v>
      </c>
      <c r="C164" s="13" t="s">
        <v>222</v>
      </c>
      <c r="D164" s="13" t="s">
        <v>110</v>
      </c>
      <c r="E164" s="13">
        <v>1</v>
      </c>
    </row>
    <row r="165" spans="1:5">
      <c r="A165" s="13" t="s">
        <v>137</v>
      </c>
      <c r="B165" s="13">
        <v>2021</v>
      </c>
      <c r="C165" s="13" t="s">
        <v>111</v>
      </c>
      <c r="D165" s="13" t="s">
        <v>110</v>
      </c>
      <c r="E165" s="13">
        <v>1</v>
      </c>
    </row>
    <row r="166" spans="1:5">
      <c r="A166" s="13" t="s">
        <v>137</v>
      </c>
      <c r="B166" s="13">
        <v>2024</v>
      </c>
      <c r="C166" s="13" t="s">
        <v>222</v>
      </c>
      <c r="D166" s="13" t="s">
        <v>110</v>
      </c>
      <c r="E166" s="13">
        <v>1</v>
      </c>
    </row>
    <row r="167" spans="1:5">
      <c r="A167" s="13" t="s">
        <v>94</v>
      </c>
      <c r="B167" s="13">
        <v>2020</v>
      </c>
      <c r="C167" s="13" t="s">
        <v>111</v>
      </c>
      <c r="D167" s="13" t="s">
        <v>110</v>
      </c>
      <c r="E167" s="13">
        <v>1</v>
      </c>
    </row>
    <row r="168" spans="1:5">
      <c r="A168" s="13" t="s">
        <v>94</v>
      </c>
      <c r="B168" s="13">
        <v>2024</v>
      </c>
      <c r="C168" s="13" t="s">
        <v>222</v>
      </c>
      <c r="D168" s="13" t="s">
        <v>110</v>
      </c>
      <c r="E168" s="13">
        <v>1</v>
      </c>
    </row>
    <row r="169" spans="1:5">
      <c r="A169" s="13" t="s">
        <v>138</v>
      </c>
      <c r="B169" s="13">
        <v>2022</v>
      </c>
      <c r="C169" s="13" t="s">
        <v>109</v>
      </c>
      <c r="D169" s="13" t="s">
        <v>110</v>
      </c>
      <c r="E169" s="13">
        <v>1</v>
      </c>
    </row>
    <row r="170" spans="1:5">
      <c r="A170" s="13" t="s">
        <v>139</v>
      </c>
      <c r="B170" s="13">
        <v>2020</v>
      </c>
      <c r="C170" s="13" t="s">
        <v>109</v>
      </c>
      <c r="D170" s="13" t="s">
        <v>112</v>
      </c>
      <c r="E170" s="13">
        <v>1</v>
      </c>
    </row>
    <row r="171" spans="1:5">
      <c r="A171" s="13" t="s">
        <v>139</v>
      </c>
      <c r="B171" s="13">
        <v>2020</v>
      </c>
      <c r="C171" s="13" t="s">
        <v>111</v>
      </c>
      <c r="D171" s="13" t="s">
        <v>110</v>
      </c>
      <c r="E171" s="13">
        <v>3</v>
      </c>
    </row>
    <row r="172" spans="1:5">
      <c r="A172" s="13" t="s">
        <v>139</v>
      </c>
      <c r="B172" s="13">
        <v>2020</v>
      </c>
      <c r="C172" s="13" t="s">
        <v>111</v>
      </c>
      <c r="D172" s="13" t="s">
        <v>112</v>
      </c>
      <c r="E172" s="13">
        <v>1</v>
      </c>
    </row>
    <row r="173" spans="1:5">
      <c r="A173" s="13" t="s">
        <v>139</v>
      </c>
      <c r="B173" s="13">
        <v>2021</v>
      </c>
      <c r="C173" s="13" t="s">
        <v>109</v>
      </c>
      <c r="D173" s="13" t="s">
        <v>110</v>
      </c>
      <c r="E173" s="13">
        <v>1</v>
      </c>
    </row>
    <row r="174" spans="1:5">
      <c r="A174" s="13" t="s">
        <v>139</v>
      </c>
      <c r="B174" s="13">
        <v>2021</v>
      </c>
      <c r="C174" s="13" t="s">
        <v>111</v>
      </c>
      <c r="D174" s="13" t="s">
        <v>110</v>
      </c>
      <c r="E174" s="13">
        <v>1</v>
      </c>
    </row>
    <row r="175" spans="1:5">
      <c r="A175" s="13" t="s">
        <v>139</v>
      </c>
      <c r="B175" s="13">
        <v>2021</v>
      </c>
      <c r="C175" s="13" t="s">
        <v>111</v>
      </c>
      <c r="D175" s="13" t="s">
        <v>112</v>
      </c>
      <c r="E175" s="13">
        <v>2</v>
      </c>
    </row>
    <row r="176" spans="1:5">
      <c r="A176" s="13" t="s">
        <v>139</v>
      </c>
      <c r="B176" s="13">
        <v>2022</v>
      </c>
      <c r="C176" s="13" t="s">
        <v>109</v>
      </c>
      <c r="D176" s="13" t="s">
        <v>110</v>
      </c>
      <c r="E176" s="13">
        <v>1</v>
      </c>
    </row>
    <row r="177" spans="1:5">
      <c r="A177" s="13" t="s">
        <v>139</v>
      </c>
      <c r="B177" s="13">
        <v>2023</v>
      </c>
      <c r="C177" s="13" t="s">
        <v>111</v>
      </c>
      <c r="D177" s="13" t="s">
        <v>110</v>
      </c>
      <c r="E177" s="13">
        <v>3</v>
      </c>
    </row>
    <row r="178" spans="1:5">
      <c r="A178" s="13" t="s">
        <v>139</v>
      </c>
      <c r="B178" s="13">
        <v>2023</v>
      </c>
      <c r="C178" s="13" t="s">
        <v>111</v>
      </c>
      <c r="D178" s="13" t="s">
        <v>112</v>
      </c>
      <c r="E178" s="13">
        <v>1</v>
      </c>
    </row>
    <row r="179" spans="1:5">
      <c r="A179" s="13" t="s">
        <v>139</v>
      </c>
      <c r="B179" s="13">
        <v>2024</v>
      </c>
      <c r="C179" s="13" t="s">
        <v>222</v>
      </c>
      <c r="D179" s="13" t="s">
        <v>110</v>
      </c>
      <c r="E179" s="13">
        <v>2</v>
      </c>
    </row>
    <row r="180" spans="1:5">
      <c r="A180" s="13" t="s">
        <v>139</v>
      </c>
      <c r="B180" s="13">
        <v>2024</v>
      </c>
      <c r="C180" s="13" t="s">
        <v>222</v>
      </c>
      <c r="D180" s="13" t="s">
        <v>112</v>
      </c>
      <c r="E180" s="13">
        <v>2</v>
      </c>
    </row>
    <row r="181" spans="1:5">
      <c r="A181" s="13" t="s">
        <v>139</v>
      </c>
      <c r="B181" s="13">
        <v>2025</v>
      </c>
      <c r="C181" s="13" t="s">
        <v>222</v>
      </c>
      <c r="D181" s="13" t="s">
        <v>110</v>
      </c>
      <c r="E181" s="13">
        <v>3</v>
      </c>
    </row>
    <row r="182" spans="1:5">
      <c r="A182" s="13" t="s">
        <v>140</v>
      </c>
      <c r="B182" s="13">
        <v>2021</v>
      </c>
      <c r="C182" s="13" t="s">
        <v>111</v>
      </c>
      <c r="D182" s="13" t="s">
        <v>112</v>
      </c>
      <c r="E182" s="13">
        <v>1</v>
      </c>
    </row>
    <row r="183" spans="1:5">
      <c r="A183" s="13" t="s">
        <v>140</v>
      </c>
      <c r="B183" s="13">
        <v>2024</v>
      </c>
      <c r="C183" s="13" t="s">
        <v>222</v>
      </c>
      <c r="D183" s="13" t="s">
        <v>110</v>
      </c>
      <c r="E183" s="13">
        <v>1</v>
      </c>
    </row>
    <row r="184" spans="1:5">
      <c r="A184" s="13" t="s">
        <v>140</v>
      </c>
      <c r="B184" s="13">
        <v>2024</v>
      </c>
      <c r="C184" s="13" t="s">
        <v>222</v>
      </c>
      <c r="D184" s="13" t="s">
        <v>112</v>
      </c>
      <c r="E184" s="13">
        <v>1</v>
      </c>
    </row>
    <row r="185" spans="1:5">
      <c r="A185" s="13" t="s">
        <v>141</v>
      </c>
      <c r="B185" s="13">
        <v>2020</v>
      </c>
      <c r="C185" s="13" t="s">
        <v>111</v>
      </c>
      <c r="D185" s="13" t="s">
        <v>110</v>
      </c>
      <c r="E185" s="13">
        <v>2</v>
      </c>
    </row>
    <row r="186" spans="1:5">
      <c r="A186" s="13" t="s">
        <v>141</v>
      </c>
      <c r="B186" s="13">
        <v>2020</v>
      </c>
      <c r="C186" s="13" t="s">
        <v>111</v>
      </c>
      <c r="D186" s="13" t="s">
        <v>112</v>
      </c>
      <c r="E186" s="13">
        <v>4</v>
      </c>
    </row>
    <row r="187" spans="1:5">
      <c r="A187" s="13" t="s">
        <v>141</v>
      </c>
      <c r="B187" s="13">
        <v>2021</v>
      </c>
      <c r="C187" s="13" t="s">
        <v>111</v>
      </c>
      <c r="D187" s="13" t="s">
        <v>110</v>
      </c>
      <c r="E187" s="13">
        <v>2</v>
      </c>
    </row>
    <row r="188" spans="1:5">
      <c r="A188" s="13" t="s">
        <v>141</v>
      </c>
      <c r="B188" s="13">
        <v>2021</v>
      </c>
      <c r="C188" s="13" t="s">
        <v>111</v>
      </c>
      <c r="D188" s="13" t="s">
        <v>112</v>
      </c>
      <c r="E188" s="13">
        <v>1</v>
      </c>
    </row>
    <row r="189" spans="1:5">
      <c r="A189" s="13" t="s">
        <v>141</v>
      </c>
      <c r="B189" s="13">
        <v>2022</v>
      </c>
      <c r="C189" s="13" t="s">
        <v>111</v>
      </c>
      <c r="D189" s="13" t="s">
        <v>110</v>
      </c>
      <c r="E189" s="13">
        <v>2</v>
      </c>
    </row>
    <row r="190" spans="1:5">
      <c r="A190" s="13" t="s">
        <v>141</v>
      </c>
      <c r="B190" s="13">
        <v>2023</v>
      </c>
      <c r="C190" s="13" t="s">
        <v>109</v>
      </c>
      <c r="D190" s="13" t="s">
        <v>110</v>
      </c>
      <c r="E190" s="13">
        <v>1</v>
      </c>
    </row>
    <row r="191" spans="1:5">
      <c r="A191" s="13" t="s">
        <v>141</v>
      </c>
      <c r="B191" s="13">
        <v>2023</v>
      </c>
      <c r="C191" s="13" t="s">
        <v>111</v>
      </c>
      <c r="D191" s="13" t="s">
        <v>110</v>
      </c>
      <c r="E191" s="13">
        <v>3</v>
      </c>
    </row>
    <row r="192" spans="1:5">
      <c r="A192" s="13" t="s">
        <v>141</v>
      </c>
      <c r="B192" s="13">
        <v>2024</v>
      </c>
      <c r="C192" s="13" t="s">
        <v>222</v>
      </c>
      <c r="D192" s="13" t="s">
        <v>110</v>
      </c>
      <c r="E192" s="13">
        <v>4</v>
      </c>
    </row>
    <row r="193" spans="1:5">
      <c r="A193" s="13" t="s">
        <v>141</v>
      </c>
      <c r="B193" s="13">
        <v>2025</v>
      </c>
      <c r="C193" s="13" t="s">
        <v>222</v>
      </c>
      <c r="D193" s="13" t="s">
        <v>110</v>
      </c>
      <c r="E193" s="13">
        <v>1</v>
      </c>
    </row>
    <row r="194" spans="1:5">
      <c r="A194" s="13" t="s">
        <v>95</v>
      </c>
      <c r="B194" s="13">
        <v>2021</v>
      </c>
      <c r="C194" s="13" t="s">
        <v>111</v>
      </c>
      <c r="D194" s="13" t="s">
        <v>112</v>
      </c>
      <c r="E194" s="13">
        <v>1</v>
      </c>
    </row>
    <row r="195" spans="1:5">
      <c r="A195" s="13" t="s">
        <v>95</v>
      </c>
      <c r="B195" s="13">
        <v>2023</v>
      </c>
      <c r="C195" s="13" t="s">
        <v>111</v>
      </c>
      <c r="D195" s="13" t="s">
        <v>110</v>
      </c>
      <c r="E195" s="13">
        <v>1</v>
      </c>
    </row>
    <row r="196" spans="1:5">
      <c r="A196" s="13" t="s">
        <v>95</v>
      </c>
      <c r="B196" s="13">
        <v>2024</v>
      </c>
      <c r="C196" s="13" t="s">
        <v>222</v>
      </c>
      <c r="D196" s="13" t="s">
        <v>110</v>
      </c>
      <c r="E196" s="13">
        <v>2</v>
      </c>
    </row>
    <row r="197" spans="1:5">
      <c r="A197" s="13" t="s">
        <v>95</v>
      </c>
      <c r="B197" s="13">
        <v>2024</v>
      </c>
      <c r="C197" s="13" t="s">
        <v>222</v>
      </c>
      <c r="D197" s="13" t="s">
        <v>112</v>
      </c>
      <c r="E197" s="13">
        <v>1</v>
      </c>
    </row>
    <row r="198" spans="1:5">
      <c r="A198" s="13" t="s">
        <v>142</v>
      </c>
      <c r="B198" s="13">
        <v>2021</v>
      </c>
      <c r="C198" s="13" t="s">
        <v>109</v>
      </c>
      <c r="D198" s="13" t="s">
        <v>110</v>
      </c>
      <c r="E198" s="13">
        <v>1</v>
      </c>
    </row>
    <row r="199" spans="1:5">
      <c r="A199" s="13" t="s">
        <v>143</v>
      </c>
      <c r="B199" s="13">
        <v>2023</v>
      </c>
      <c r="C199" s="13" t="s">
        <v>111</v>
      </c>
      <c r="D199" s="13" t="s">
        <v>110</v>
      </c>
      <c r="E199" s="13">
        <v>1</v>
      </c>
    </row>
    <row r="200" spans="1:5">
      <c r="A200" s="13" t="s">
        <v>144</v>
      </c>
      <c r="B200" s="13">
        <v>2022</v>
      </c>
      <c r="C200" s="13" t="s">
        <v>109</v>
      </c>
      <c r="D200" s="13" t="s">
        <v>110</v>
      </c>
      <c r="E200" s="13">
        <v>1</v>
      </c>
    </row>
    <row r="201" spans="1:5">
      <c r="A201" s="13" t="s">
        <v>144</v>
      </c>
      <c r="B201" s="13">
        <v>2022</v>
      </c>
      <c r="C201" s="13" t="s">
        <v>111</v>
      </c>
      <c r="D201" s="13" t="s">
        <v>110</v>
      </c>
      <c r="E201" s="13">
        <v>1</v>
      </c>
    </row>
    <row r="202" spans="1:5">
      <c r="A202" s="13" t="s">
        <v>144</v>
      </c>
      <c r="B202" s="13">
        <v>2022</v>
      </c>
      <c r="C202" s="13" t="s">
        <v>111</v>
      </c>
      <c r="D202" s="13" t="s">
        <v>112</v>
      </c>
      <c r="E202" s="13">
        <v>2</v>
      </c>
    </row>
    <row r="203" spans="1:5">
      <c r="A203" s="13" t="s">
        <v>144</v>
      </c>
      <c r="B203" s="13">
        <v>2023</v>
      </c>
      <c r="C203" s="13" t="s">
        <v>111</v>
      </c>
      <c r="D203" s="13" t="s">
        <v>110</v>
      </c>
      <c r="E203" s="13">
        <v>1</v>
      </c>
    </row>
    <row r="204" spans="1:5">
      <c r="A204" s="13" t="s">
        <v>144</v>
      </c>
      <c r="B204" s="13">
        <v>2024</v>
      </c>
      <c r="C204" s="13" t="s">
        <v>222</v>
      </c>
      <c r="D204" s="13" t="s">
        <v>110</v>
      </c>
      <c r="E204" s="13">
        <v>2</v>
      </c>
    </row>
    <row r="205" spans="1:5">
      <c r="A205" s="13" t="s">
        <v>144</v>
      </c>
      <c r="B205" s="13">
        <v>2024</v>
      </c>
      <c r="C205" s="13" t="s">
        <v>222</v>
      </c>
      <c r="D205" s="13" t="s">
        <v>112</v>
      </c>
      <c r="E205" s="13">
        <v>1</v>
      </c>
    </row>
    <row r="206" spans="1:5">
      <c r="A206" s="13" t="s">
        <v>145</v>
      </c>
      <c r="B206" s="13">
        <v>2021</v>
      </c>
      <c r="C206" s="13" t="s">
        <v>111</v>
      </c>
      <c r="D206" s="13" t="s">
        <v>110</v>
      </c>
      <c r="E206" s="13">
        <v>1</v>
      </c>
    </row>
    <row r="207" spans="1:5">
      <c r="A207" s="13" t="s">
        <v>145</v>
      </c>
      <c r="B207" s="13">
        <v>2024</v>
      </c>
      <c r="C207" s="13" t="s">
        <v>222</v>
      </c>
      <c r="D207" s="13" t="s">
        <v>110</v>
      </c>
      <c r="E207" s="13">
        <v>1</v>
      </c>
    </row>
    <row r="208" spans="1:5">
      <c r="A208" s="13" t="s">
        <v>96</v>
      </c>
      <c r="B208" s="13">
        <v>2020</v>
      </c>
      <c r="C208" s="13" t="s">
        <v>109</v>
      </c>
      <c r="D208" s="13" t="s">
        <v>110</v>
      </c>
      <c r="E208" s="13">
        <v>1</v>
      </c>
    </row>
    <row r="209" spans="1:5">
      <c r="A209" s="13" t="s">
        <v>96</v>
      </c>
      <c r="B209" s="13">
        <v>2021</v>
      </c>
      <c r="C209" s="13" t="s">
        <v>109</v>
      </c>
      <c r="D209" s="13" t="s">
        <v>110</v>
      </c>
      <c r="E209" s="13">
        <v>1</v>
      </c>
    </row>
    <row r="210" spans="1:5">
      <c r="A210" s="13" t="s">
        <v>96</v>
      </c>
      <c r="B210" s="13">
        <v>2021</v>
      </c>
      <c r="C210" s="13" t="s">
        <v>111</v>
      </c>
      <c r="D210" s="13" t="s">
        <v>110</v>
      </c>
      <c r="E210" s="13">
        <v>1</v>
      </c>
    </row>
    <row r="211" spans="1:5">
      <c r="A211" s="13" t="s">
        <v>96</v>
      </c>
      <c r="B211" s="13">
        <v>2022</v>
      </c>
      <c r="C211" s="13" t="s">
        <v>111</v>
      </c>
      <c r="D211" s="13" t="s">
        <v>110</v>
      </c>
      <c r="E211" s="13">
        <v>1</v>
      </c>
    </row>
    <row r="212" spans="1:5">
      <c r="A212" s="13" t="s">
        <v>96</v>
      </c>
      <c r="B212" s="13">
        <v>2022</v>
      </c>
      <c r="C212" s="13" t="s">
        <v>111</v>
      </c>
      <c r="D212" s="13" t="s">
        <v>112</v>
      </c>
      <c r="E212" s="13">
        <v>3</v>
      </c>
    </row>
    <row r="213" spans="1:5">
      <c r="A213" s="13" t="s">
        <v>96</v>
      </c>
      <c r="B213" s="13">
        <v>2023</v>
      </c>
      <c r="C213" s="13" t="s">
        <v>111</v>
      </c>
      <c r="D213" s="13" t="s">
        <v>110</v>
      </c>
      <c r="E213" s="13">
        <v>4</v>
      </c>
    </row>
    <row r="214" spans="1:5">
      <c r="A214" s="13" t="s">
        <v>96</v>
      </c>
      <c r="B214" s="13">
        <v>2023</v>
      </c>
      <c r="C214" s="13" t="s">
        <v>111</v>
      </c>
      <c r="D214" s="13" t="s">
        <v>112</v>
      </c>
      <c r="E214" s="13">
        <v>2</v>
      </c>
    </row>
    <row r="215" spans="1:5">
      <c r="A215" s="13" t="s">
        <v>96</v>
      </c>
      <c r="B215" s="13">
        <v>2024</v>
      </c>
      <c r="C215" s="13" t="s">
        <v>222</v>
      </c>
      <c r="D215" s="13" t="s">
        <v>110</v>
      </c>
      <c r="E215" s="13">
        <v>4</v>
      </c>
    </row>
    <row r="216" spans="1:5">
      <c r="A216" s="13" t="s">
        <v>96</v>
      </c>
      <c r="B216" s="13">
        <v>2024</v>
      </c>
      <c r="C216" s="13" t="s">
        <v>222</v>
      </c>
      <c r="D216" s="13" t="s">
        <v>112</v>
      </c>
      <c r="E216" s="13">
        <v>3</v>
      </c>
    </row>
    <row r="217" spans="1:5">
      <c r="A217" s="13" t="s">
        <v>96</v>
      </c>
      <c r="B217" s="13">
        <v>2025</v>
      </c>
      <c r="C217" s="13" t="s">
        <v>224</v>
      </c>
      <c r="D217" s="13" t="s">
        <v>112</v>
      </c>
      <c r="E217" s="13">
        <v>1</v>
      </c>
    </row>
    <row r="218" spans="1:5">
      <c r="A218" s="13" t="s">
        <v>146</v>
      </c>
      <c r="B218" s="13">
        <v>2021</v>
      </c>
      <c r="C218" s="13" t="s">
        <v>111</v>
      </c>
      <c r="D218" s="13" t="s">
        <v>112</v>
      </c>
      <c r="E218" s="13">
        <v>1</v>
      </c>
    </row>
    <row r="219" spans="1:5">
      <c r="A219" s="13" t="s">
        <v>146</v>
      </c>
      <c r="B219" s="13">
        <v>2024</v>
      </c>
      <c r="C219" s="13" t="s">
        <v>222</v>
      </c>
      <c r="D219" s="13" t="s">
        <v>110</v>
      </c>
      <c r="E219" s="13">
        <v>1</v>
      </c>
    </row>
    <row r="220" spans="1:5">
      <c r="A220" s="13" t="s">
        <v>147</v>
      </c>
      <c r="B220" s="13">
        <v>2022</v>
      </c>
      <c r="C220" s="13" t="s">
        <v>109</v>
      </c>
      <c r="D220" s="13" t="s">
        <v>112</v>
      </c>
      <c r="E220" s="13">
        <v>1</v>
      </c>
    </row>
    <row r="221" spans="1:5">
      <c r="A221" s="13" t="s">
        <v>148</v>
      </c>
      <c r="B221" s="13">
        <v>2023</v>
      </c>
      <c r="C221" s="13" t="s">
        <v>111</v>
      </c>
      <c r="D221" s="13" t="s">
        <v>110</v>
      </c>
      <c r="E221" s="13">
        <v>2</v>
      </c>
    </row>
    <row r="222" spans="1:5">
      <c r="A222" s="13" t="s">
        <v>148</v>
      </c>
      <c r="B222" s="13">
        <v>2024</v>
      </c>
      <c r="C222" s="13" t="s">
        <v>222</v>
      </c>
      <c r="D222" s="13" t="s">
        <v>110</v>
      </c>
      <c r="E222" s="13">
        <v>1</v>
      </c>
    </row>
    <row r="223" spans="1:5">
      <c r="A223" s="13" t="s">
        <v>148</v>
      </c>
      <c r="B223" s="13">
        <v>2024</v>
      </c>
      <c r="C223" s="13" t="s">
        <v>222</v>
      </c>
      <c r="D223" s="13" t="s">
        <v>112</v>
      </c>
      <c r="E223" s="13">
        <v>1</v>
      </c>
    </row>
    <row r="224" spans="1:5">
      <c r="A224" s="13" t="s">
        <v>149</v>
      </c>
      <c r="B224" s="13">
        <v>2022</v>
      </c>
      <c r="C224" s="13" t="s">
        <v>111</v>
      </c>
      <c r="D224" s="13" t="s">
        <v>110</v>
      </c>
      <c r="E224" s="13">
        <v>1</v>
      </c>
    </row>
    <row r="225" spans="1:5">
      <c r="A225" s="13" t="s">
        <v>149</v>
      </c>
      <c r="B225" s="13">
        <v>2023</v>
      </c>
      <c r="C225" s="13" t="s">
        <v>111</v>
      </c>
      <c r="D225" s="13" t="s">
        <v>112</v>
      </c>
      <c r="E225" s="13">
        <v>2</v>
      </c>
    </row>
    <row r="226" spans="1:5">
      <c r="A226" s="13" t="s">
        <v>97</v>
      </c>
      <c r="B226" s="13">
        <v>2020</v>
      </c>
      <c r="C226" s="13" t="s">
        <v>109</v>
      </c>
      <c r="D226" s="13" t="s">
        <v>110</v>
      </c>
      <c r="E226" s="13">
        <v>2</v>
      </c>
    </row>
    <row r="227" spans="1:5">
      <c r="A227" s="13" t="s">
        <v>97</v>
      </c>
      <c r="B227" s="13">
        <v>2020</v>
      </c>
      <c r="C227" s="13" t="s">
        <v>111</v>
      </c>
      <c r="D227" s="13" t="s">
        <v>110</v>
      </c>
      <c r="E227" s="13">
        <v>10</v>
      </c>
    </row>
    <row r="228" spans="1:5">
      <c r="A228" s="13" t="s">
        <v>97</v>
      </c>
      <c r="B228" s="13">
        <v>2020</v>
      </c>
      <c r="C228" s="13" t="s">
        <v>111</v>
      </c>
      <c r="D228" s="13" t="s">
        <v>112</v>
      </c>
      <c r="E228" s="13">
        <v>1</v>
      </c>
    </row>
    <row r="229" spans="1:5">
      <c r="A229" s="13" t="s">
        <v>97</v>
      </c>
      <c r="B229" s="13">
        <v>2021</v>
      </c>
      <c r="C229" s="13" t="s">
        <v>109</v>
      </c>
      <c r="D229" s="13" t="s">
        <v>110</v>
      </c>
      <c r="E229" s="13">
        <v>2</v>
      </c>
    </row>
    <row r="230" spans="1:5">
      <c r="A230" s="13" t="s">
        <v>97</v>
      </c>
      <c r="B230" s="13">
        <v>2021</v>
      </c>
      <c r="C230" s="13" t="s">
        <v>111</v>
      </c>
      <c r="D230" s="13" t="s">
        <v>110</v>
      </c>
      <c r="E230" s="13">
        <v>5</v>
      </c>
    </row>
    <row r="231" spans="1:5">
      <c r="A231" s="13" t="s">
        <v>97</v>
      </c>
      <c r="B231" s="13">
        <v>2021</v>
      </c>
      <c r="C231" s="13" t="s">
        <v>111</v>
      </c>
      <c r="D231" s="13" t="s">
        <v>112</v>
      </c>
      <c r="E231" s="13">
        <v>6</v>
      </c>
    </row>
    <row r="232" spans="1:5">
      <c r="A232" s="13" t="s">
        <v>97</v>
      </c>
      <c r="B232" s="13">
        <v>2022</v>
      </c>
      <c r="C232" s="13" t="s">
        <v>111</v>
      </c>
      <c r="D232" s="13" t="s">
        <v>110</v>
      </c>
      <c r="E232" s="13">
        <v>18</v>
      </c>
    </row>
    <row r="233" spans="1:5">
      <c r="A233" s="13" t="s">
        <v>97</v>
      </c>
      <c r="B233" s="13">
        <v>2022</v>
      </c>
      <c r="C233" s="13" t="s">
        <v>111</v>
      </c>
      <c r="D233" s="13" t="s">
        <v>112</v>
      </c>
      <c r="E233" s="13">
        <v>4</v>
      </c>
    </row>
    <row r="234" spans="1:5">
      <c r="A234" s="13" t="s">
        <v>97</v>
      </c>
      <c r="B234" s="13">
        <v>2023</v>
      </c>
      <c r="C234" s="13" t="s">
        <v>109</v>
      </c>
      <c r="D234" s="13" t="s">
        <v>112</v>
      </c>
      <c r="E234" s="13">
        <v>2</v>
      </c>
    </row>
    <row r="235" spans="1:5">
      <c r="A235" s="13" t="s">
        <v>97</v>
      </c>
      <c r="B235" s="13">
        <v>2023</v>
      </c>
      <c r="C235" s="13" t="s">
        <v>111</v>
      </c>
      <c r="D235" s="13" t="s">
        <v>110</v>
      </c>
      <c r="E235" s="13">
        <v>21</v>
      </c>
    </row>
    <row r="236" spans="1:5">
      <c r="A236" s="13" t="s">
        <v>97</v>
      </c>
      <c r="B236" s="13">
        <v>2023</v>
      </c>
      <c r="C236" s="13" t="s">
        <v>111</v>
      </c>
      <c r="D236" s="13" t="s">
        <v>112</v>
      </c>
      <c r="E236" s="13">
        <v>4</v>
      </c>
    </row>
    <row r="237" spans="1:5">
      <c r="A237" s="13" t="s">
        <v>97</v>
      </c>
      <c r="B237" s="13">
        <v>2024</v>
      </c>
      <c r="C237" s="13" t="s">
        <v>224</v>
      </c>
      <c r="D237" s="13" t="s">
        <v>110</v>
      </c>
      <c r="E237" s="13">
        <v>7</v>
      </c>
    </row>
    <row r="238" spans="1:5">
      <c r="A238" s="13" t="s">
        <v>97</v>
      </c>
      <c r="B238" s="13">
        <v>2024</v>
      </c>
      <c r="C238" s="13" t="s">
        <v>222</v>
      </c>
      <c r="D238" s="13" t="s">
        <v>110</v>
      </c>
      <c r="E238" s="13">
        <v>18</v>
      </c>
    </row>
    <row r="239" spans="1:5">
      <c r="A239" s="13" t="s">
        <v>97</v>
      </c>
      <c r="B239" s="13">
        <v>2024</v>
      </c>
      <c r="C239" s="13" t="s">
        <v>222</v>
      </c>
      <c r="D239" s="13" t="s">
        <v>112</v>
      </c>
      <c r="E239" s="13">
        <v>10</v>
      </c>
    </row>
    <row r="240" spans="1:5">
      <c r="A240" s="13" t="s">
        <v>97</v>
      </c>
      <c r="B240" s="13">
        <v>2025</v>
      </c>
      <c r="C240" s="13" t="s">
        <v>224</v>
      </c>
      <c r="D240" s="13" t="s">
        <v>110</v>
      </c>
      <c r="E240" s="13">
        <v>3</v>
      </c>
    </row>
    <row r="241" spans="1:5">
      <c r="A241" s="13" t="s">
        <v>97</v>
      </c>
      <c r="B241" s="13">
        <v>2025</v>
      </c>
      <c r="C241" s="13" t="s">
        <v>224</v>
      </c>
      <c r="D241" s="13" t="s">
        <v>112</v>
      </c>
      <c r="E241" s="13">
        <v>1</v>
      </c>
    </row>
    <row r="242" spans="1:5">
      <c r="A242" s="13" t="s">
        <v>97</v>
      </c>
      <c r="B242" s="13">
        <v>2025</v>
      </c>
      <c r="C242" s="13" t="s">
        <v>222</v>
      </c>
      <c r="D242" s="13" t="s">
        <v>110</v>
      </c>
      <c r="E242" s="13">
        <v>9</v>
      </c>
    </row>
    <row r="243" spans="1:5">
      <c r="A243" s="13" t="s">
        <v>97</v>
      </c>
      <c r="B243" s="13">
        <v>2025</v>
      </c>
      <c r="C243" s="13" t="s">
        <v>222</v>
      </c>
      <c r="D243" s="13" t="s">
        <v>112</v>
      </c>
      <c r="E243" s="13">
        <v>1</v>
      </c>
    </row>
    <row r="244" spans="1:5">
      <c r="A244" s="13" t="s">
        <v>150</v>
      </c>
      <c r="B244" s="13">
        <v>2022</v>
      </c>
      <c r="C244" s="13" t="s">
        <v>111</v>
      </c>
      <c r="D244" s="13" t="s">
        <v>110</v>
      </c>
      <c r="E244" s="13">
        <v>1</v>
      </c>
    </row>
    <row r="245" spans="1:5">
      <c r="A245" s="13" t="s">
        <v>150</v>
      </c>
      <c r="B245" s="13">
        <v>2023</v>
      </c>
      <c r="C245" s="21" t="s">
        <v>111</v>
      </c>
      <c r="D245" s="21" t="s">
        <v>110</v>
      </c>
      <c r="E245" s="13">
        <v>2</v>
      </c>
    </row>
    <row r="246" spans="1:5">
      <c r="A246" s="13" t="s">
        <v>150</v>
      </c>
      <c r="B246" s="13">
        <v>2024</v>
      </c>
      <c r="C246" s="21" t="s">
        <v>224</v>
      </c>
      <c r="D246" s="21" t="s">
        <v>110</v>
      </c>
      <c r="E246" s="13">
        <v>1</v>
      </c>
    </row>
    <row r="247" spans="1:5">
      <c r="A247" s="13" t="s">
        <v>150</v>
      </c>
      <c r="B247" s="13">
        <v>2024</v>
      </c>
      <c r="C247" s="21" t="s">
        <v>222</v>
      </c>
      <c r="D247" s="21" t="s">
        <v>110</v>
      </c>
      <c r="E247" s="13">
        <v>1</v>
      </c>
    </row>
    <row r="248" spans="1:5">
      <c r="A248" s="13" t="s">
        <v>150</v>
      </c>
      <c r="B248" s="13">
        <v>2025</v>
      </c>
      <c r="C248" s="21" t="s">
        <v>222</v>
      </c>
      <c r="D248" s="21" t="s">
        <v>110</v>
      </c>
      <c r="E248" s="13">
        <v>2</v>
      </c>
    </row>
    <row r="249" spans="1:5">
      <c r="A249" s="13" t="s">
        <v>151</v>
      </c>
      <c r="B249" s="13">
        <v>2021</v>
      </c>
      <c r="C249" s="21" t="s">
        <v>109</v>
      </c>
      <c r="D249" s="21" t="s">
        <v>110</v>
      </c>
      <c r="E249" s="13">
        <v>1</v>
      </c>
    </row>
    <row r="250" spans="1:5">
      <c r="A250" s="13" t="s">
        <v>151</v>
      </c>
      <c r="B250" s="13">
        <v>2022</v>
      </c>
      <c r="C250" s="21" t="s">
        <v>109</v>
      </c>
      <c r="D250" s="21" t="s">
        <v>112</v>
      </c>
      <c r="E250" s="13">
        <v>1</v>
      </c>
    </row>
    <row r="251" spans="1:5">
      <c r="A251" s="13" t="s">
        <v>151</v>
      </c>
      <c r="B251" s="13">
        <v>2023</v>
      </c>
      <c r="C251" s="21" t="s">
        <v>111</v>
      </c>
      <c r="D251" s="21" t="s">
        <v>110</v>
      </c>
      <c r="E251" s="13">
        <v>1</v>
      </c>
    </row>
    <row r="252" spans="1:5">
      <c r="A252" s="13" t="s">
        <v>151</v>
      </c>
      <c r="B252" s="13">
        <v>2024</v>
      </c>
      <c r="C252" s="21" t="s">
        <v>222</v>
      </c>
      <c r="D252" s="21" t="s">
        <v>110</v>
      </c>
      <c r="E252" s="13">
        <v>1</v>
      </c>
    </row>
    <row r="253" spans="1:5">
      <c r="A253" s="13" t="s">
        <v>152</v>
      </c>
      <c r="B253" s="13">
        <v>2021</v>
      </c>
      <c r="C253" s="21" t="s">
        <v>109</v>
      </c>
      <c r="D253" s="21" t="s">
        <v>112</v>
      </c>
      <c r="E253" s="13">
        <v>1</v>
      </c>
    </row>
    <row r="254" spans="1:5">
      <c r="A254" s="13" t="s">
        <v>152</v>
      </c>
      <c r="B254" s="13">
        <v>2022</v>
      </c>
      <c r="C254" s="21" t="s">
        <v>111</v>
      </c>
      <c r="D254" s="21" t="s">
        <v>110</v>
      </c>
      <c r="E254" s="13">
        <v>2</v>
      </c>
    </row>
    <row r="255" spans="1:5">
      <c r="A255" s="13" t="s">
        <v>230</v>
      </c>
      <c r="B255" s="13">
        <v>2024</v>
      </c>
      <c r="C255" s="21" t="s">
        <v>222</v>
      </c>
      <c r="D255" s="21" t="s">
        <v>112</v>
      </c>
      <c r="E255" s="13">
        <v>1</v>
      </c>
    </row>
    <row r="256" spans="1:5">
      <c r="A256" s="13" t="s">
        <v>231</v>
      </c>
      <c r="B256" s="13">
        <v>2024</v>
      </c>
      <c r="C256" s="21" t="s">
        <v>222</v>
      </c>
      <c r="D256" s="21" t="s">
        <v>112</v>
      </c>
      <c r="E256" s="13">
        <v>1</v>
      </c>
    </row>
    <row r="257" spans="1:5">
      <c r="A257" s="13" t="s">
        <v>98</v>
      </c>
      <c r="B257" s="13">
        <v>2021</v>
      </c>
      <c r="C257" s="21" t="s">
        <v>111</v>
      </c>
      <c r="D257" s="21" t="s">
        <v>110</v>
      </c>
      <c r="E257" s="13">
        <v>2</v>
      </c>
    </row>
    <row r="258" spans="1:5">
      <c r="A258" s="13" t="s">
        <v>98</v>
      </c>
      <c r="B258" s="13">
        <v>2021</v>
      </c>
      <c r="C258" s="21" t="s">
        <v>111</v>
      </c>
      <c r="D258" s="21" t="s">
        <v>112</v>
      </c>
      <c r="E258" s="13">
        <v>1</v>
      </c>
    </row>
    <row r="259" spans="1:5">
      <c r="A259" s="13" t="s">
        <v>98</v>
      </c>
      <c r="B259" s="13">
        <v>2022</v>
      </c>
      <c r="C259" s="21" t="s">
        <v>111</v>
      </c>
      <c r="D259" s="21" t="s">
        <v>110</v>
      </c>
      <c r="E259" s="13">
        <v>1</v>
      </c>
    </row>
    <row r="260" spans="1:5">
      <c r="A260" s="13" t="s">
        <v>98</v>
      </c>
      <c r="B260" s="13">
        <v>2022</v>
      </c>
      <c r="C260" s="21" t="s">
        <v>111</v>
      </c>
      <c r="D260" s="21" t="s">
        <v>112</v>
      </c>
      <c r="E260" s="13">
        <v>2</v>
      </c>
    </row>
    <row r="261" spans="1:5">
      <c r="A261" s="13" t="s">
        <v>98</v>
      </c>
      <c r="B261" s="13">
        <v>2023</v>
      </c>
      <c r="C261" s="21" t="s">
        <v>111</v>
      </c>
      <c r="D261" s="21" t="s">
        <v>110</v>
      </c>
      <c r="E261" s="13">
        <v>1</v>
      </c>
    </row>
    <row r="262" spans="1:5">
      <c r="A262" s="13" t="s">
        <v>98</v>
      </c>
      <c r="B262" s="13">
        <v>2023</v>
      </c>
      <c r="C262" s="21" t="s">
        <v>111</v>
      </c>
      <c r="D262" s="21" t="s">
        <v>112</v>
      </c>
      <c r="E262" s="13">
        <v>1</v>
      </c>
    </row>
    <row r="263" spans="1:5">
      <c r="A263" s="13" t="s">
        <v>153</v>
      </c>
      <c r="B263" s="13">
        <v>2020</v>
      </c>
      <c r="C263" s="21" t="s">
        <v>111</v>
      </c>
      <c r="D263" s="21" t="s">
        <v>110</v>
      </c>
      <c r="E263" s="13">
        <v>1</v>
      </c>
    </row>
    <row r="264" spans="1:5">
      <c r="A264" s="13" t="s">
        <v>153</v>
      </c>
      <c r="B264" s="13">
        <v>2023</v>
      </c>
      <c r="C264" s="21" t="s">
        <v>111</v>
      </c>
      <c r="D264" s="21" t="s">
        <v>110</v>
      </c>
      <c r="E264" s="13">
        <v>1</v>
      </c>
    </row>
    <row r="265" spans="1:5">
      <c r="A265" s="13" t="s">
        <v>154</v>
      </c>
      <c r="B265" s="13">
        <v>2020</v>
      </c>
      <c r="C265" s="21" t="s">
        <v>109</v>
      </c>
      <c r="D265" s="21" t="s">
        <v>110</v>
      </c>
      <c r="E265" s="13">
        <v>1</v>
      </c>
    </row>
    <row r="266" spans="1:5">
      <c r="A266" s="13" t="s">
        <v>155</v>
      </c>
      <c r="B266" s="13">
        <v>2020</v>
      </c>
      <c r="C266" s="21" t="s">
        <v>111</v>
      </c>
      <c r="D266" s="21" t="s">
        <v>110</v>
      </c>
      <c r="E266" s="13">
        <v>1</v>
      </c>
    </row>
    <row r="267" spans="1:5">
      <c r="A267" s="13" t="s">
        <v>155</v>
      </c>
      <c r="B267" s="13">
        <v>2021</v>
      </c>
      <c r="C267" s="21" t="s">
        <v>111</v>
      </c>
      <c r="D267" s="21" t="s">
        <v>110</v>
      </c>
      <c r="E267" s="13">
        <v>1</v>
      </c>
    </row>
    <row r="268" spans="1:5">
      <c r="A268" s="13" t="s">
        <v>155</v>
      </c>
      <c r="B268" s="13">
        <v>2022</v>
      </c>
      <c r="C268" s="21" t="s">
        <v>111</v>
      </c>
      <c r="D268" s="21" t="s">
        <v>110</v>
      </c>
      <c r="E268" s="13">
        <v>1</v>
      </c>
    </row>
    <row r="269" spans="1:5">
      <c r="A269" s="13" t="s">
        <v>155</v>
      </c>
      <c r="B269" s="13">
        <v>2022</v>
      </c>
      <c r="C269" s="21" t="s">
        <v>111</v>
      </c>
      <c r="D269" s="21" t="s">
        <v>112</v>
      </c>
      <c r="E269" s="13">
        <v>1</v>
      </c>
    </row>
    <row r="270" spans="1:5">
      <c r="A270" s="13" t="s">
        <v>155</v>
      </c>
      <c r="B270" s="13">
        <v>2023</v>
      </c>
      <c r="C270" s="21" t="s">
        <v>111</v>
      </c>
      <c r="D270" s="21" t="s">
        <v>110</v>
      </c>
      <c r="E270" s="13">
        <v>1</v>
      </c>
    </row>
    <row r="271" spans="1:5">
      <c r="A271" s="13" t="s">
        <v>155</v>
      </c>
      <c r="B271" s="13">
        <v>2024</v>
      </c>
      <c r="C271" s="21" t="s">
        <v>222</v>
      </c>
      <c r="D271" s="21" t="s">
        <v>110</v>
      </c>
      <c r="E271" s="13">
        <v>2</v>
      </c>
    </row>
    <row r="272" spans="1:5">
      <c r="A272" s="13" t="s">
        <v>155</v>
      </c>
      <c r="B272" s="13">
        <v>2025</v>
      </c>
      <c r="C272" s="21" t="s">
        <v>222</v>
      </c>
      <c r="D272" s="21" t="s">
        <v>110</v>
      </c>
      <c r="E272" s="13">
        <v>1</v>
      </c>
    </row>
    <row r="273" spans="1:5">
      <c r="A273" s="13" t="s">
        <v>156</v>
      </c>
      <c r="B273" s="13">
        <v>2022</v>
      </c>
      <c r="C273" s="21" t="s">
        <v>109</v>
      </c>
      <c r="D273" s="21" t="s">
        <v>112</v>
      </c>
      <c r="E273" s="13">
        <v>1</v>
      </c>
    </row>
    <row r="274" spans="1:5">
      <c r="A274" s="13" t="s">
        <v>156</v>
      </c>
      <c r="B274" s="13">
        <v>2023</v>
      </c>
      <c r="C274" s="21" t="s">
        <v>111</v>
      </c>
      <c r="D274" s="21" t="s">
        <v>110</v>
      </c>
      <c r="E274" s="13">
        <v>2</v>
      </c>
    </row>
    <row r="275" spans="1:5">
      <c r="A275" s="13" t="s">
        <v>156</v>
      </c>
      <c r="B275" s="13">
        <v>2024</v>
      </c>
      <c r="C275" s="21" t="s">
        <v>222</v>
      </c>
      <c r="D275" s="21" t="s">
        <v>110</v>
      </c>
      <c r="E275" s="13">
        <v>1</v>
      </c>
    </row>
    <row r="276" spans="1:5">
      <c r="A276" s="13" t="s">
        <v>156</v>
      </c>
      <c r="B276" s="13">
        <v>2024</v>
      </c>
      <c r="C276" s="21" t="s">
        <v>222</v>
      </c>
      <c r="D276" s="21" t="s">
        <v>112</v>
      </c>
      <c r="E276" s="13">
        <v>1</v>
      </c>
    </row>
    <row r="277" spans="1:5">
      <c r="A277" s="13" t="s">
        <v>157</v>
      </c>
      <c r="B277" s="13">
        <v>2021</v>
      </c>
      <c r="C277" s="21" t="s">
        <v>111</v>
      </c>
      <c r="D277" s="21" t="s">
        <v>110</v>
      </c>
      <c r="E277" s="13">
        <v>1</v>
      </c>
    </row>
    <row r="278" spans="1:5">
      <c r="A278" s="13" t="s">
        <v>157</v>
      </c>
      <c r="B278" s="13">
        <v>2022</v>
      </c>
      <c r="C278" s="21" t="s">
        <v>111</v>
      </c>
      <c r="D278" s="21" t="s">
        <v>112</v>
      </c>
      <c r="E278" s="13">
        <v>1</v>
      </c>
    </row>
    <row r="279" spans="1:5">
      <c r="A279" s="13" t="s">
        <v>157</v>
      </c>
      <c r="B279" s="13">
        <v>2024</v>
      </c>
      <c r="C279" s="21" t="s">
        <v>222</v>
      </c>
      <c r="D279" s="21" t="s">
        <v>110</v>
      </c>
      <c r="E279" s="13">
        <v>1</v>
      </c>
    </row>
    <row r="280" spans="1:5">
      <c r="A280" s="13" t="s">
        <v>158</v>
      </c>
      <c r="B280" s="13">
        <v>2021</v>
      </c>
      <c r="C280" s="21" t="s">
        <v>111</v>
      </c>
      <c r="D280" s="21" t="s">
        <v>110</v>
      </c>
      <c r="E280" s="13">
        <v>1</v>
      </c>
    </row>
    <row r="281" spans="1:5">
      <c r="A281" s="13" t="s">
        <v>158</v>
      </c>
      <c r="B281" s="13">
        <v>2022</v>
      </c>
      <c r="C281" s="21" t="s">
        <v>111</v>
      </c>
      <c r="D281" s="21" t="s">
        <v>110</v>
      </c>
      <c r="E281" s="13">
        <v>1</v>
      </c>
    </row>
    <row r="282" spans="1:5">
      <c r="A282" s="13" t="s">
        <v>158</v>
      </c>
      <c r="B282" s="13">
        <v>2023</v>
      </c>
      <c r="C282" s="21" t="s">
        <v>111</v>
      </c>
      <c r="D282" s="21" t="s">
        <v>110</v>
      </c>
      <c r="E282" s="13">
        <v>2</v>
      </c>
    </row>
    <row r="283" spans="1:5">
      <c r="A283" s="13" t="s">
        <v>158</v>
      </c>
      <c r="B283" s="13">
        <v>2024</v>
      </c>
      <c r="C283" s="21" t="s">
        <v>222</v>
      </c>
      <c r="D283" s="21" t="s">
        <v>110</v>
      </c>
      <c r="E283" s="13">
        <v>1</v>
      </c>
    </row>
    <row r="284" spans="1:5">
      <c r="A284" s="13" t="s">
        <v>158</v>
      </c>
      <c r="B284" s="13">
        <v>2025</v>
      </c>
      <c r="C284" s="21" t="s">
        <v>222</v>
      </c>
      <c r="D284" s="21" t="s">
        <v>110</v>
      </c>
      <c r="E284" s="13">
        <v>1</v>
      </c>
    </row>
    <row r="285" spans="1:5">
      <c r="A285" s="13" t="s">
        <v>159</v>
      </c>
      <c r="B285" s="13">
        <v>2023</v>
      </c>
      <c r="C285" s="21" t="s">
        <v>111</v>
      </c>
      <c r="D285" s="21" t="s">
        <v>110</v>
      </c>
      <c r="E285" s="13">
        <v>1</v>
      </c>
    </row>
    <row r="286" spans="1:5">
      <c r="A286" s="13" t="s">
        <v>160</v>
      </c>
      <c r="B286" s="13">
        <v>2022</v>
      </c>
      <c r="C286" s="21" t="s">
        <v>109</v>
      </c>
      <c r="D286" s="21" t="s">
        <v>112</v>
      </c>
      <c r="E286" s="13">
        <v>1</v>
      </c>
    </row>
    <row r="287" spans="1:5">
      <c r="A287" s="13" t="s">
        <v>160</v>
      </c>
      <c r="B287" s="13">
        <v>2023</v>
      </c>
      <c r="C287" s="21" t="s">
        <v>111</v>
      </c>
      <c r="D287" s="21" t="s">
        <v>112</v>
      </c>
      <c r="E287" s="13">
        <v>1</v>
      </c>
    </row>
    <row r="288" spans="1:5">
      <c r="A288" s="13" t="s">
        <v>161</v>
      </c>
      <c r="B288" s="13">
        <v>2021</v>
      </c>
      <c r="C288" s="21" t="s">
        <v>109</v>
      </c>
      <c r="D288" s="21" t="s">
        <v>112</v>
      </c>
      <c r="E288" s="13">
        <v>1</v>
      </c>
    </row>
    <row r="289" spans="1:5">
      <c r="A289" s="13" t="s">
        <v>161</v>
      </c>
      <c r="B289" s="13">
        <v>2022</v>
      </c>
      <c r="C289" s="21" t="s">
        <v>111</v>
      </c>
      <c r="D289" s="21" t="s">
        <v>112</v>
      </c>
      <c r="E289" s="13">
        <v>1</v>
      </c>
    </row>
    <row r="290" spans="1:5">
      <c r="A290" s="13" t="s">
        <v>161</v>
      </c>
      <c r="B290" s="13">
        <v>2024</v>
      </c>
      <c r="C290" s="21" t="s">
        <v>222</v>
      </c>
      <c r="D290" s="21" t="s">
        <v>110</v>
      </c>
      <c r="E290" s="13">
        <v>1</v>
      </c>
    </row>
    <row r="291" spans="1:5">
      <c r="A291" s="13" t="s">
        <v>232</v>
      </c>
      <c r="B291" s="13">
        <v>2024</v>
      </c>
      <c r="C291" s="21" t="s">
        <v>222</v>
      </c>
      <c r="D291" s="21" t="s">
        <v>112</v>
      </c>
      <c r="E291" s="13">
        <v>1</v>
      </c>
    </row>
    <row r="292" spans="1:5">
      <c r="A292" s="13" t="s">
        <v>162</v>
      </c>
      <c r="B292" s="13">
        <v>2021</v>
      </c>
      <c r="C292" s="21" t="s">
        <v>109</v>
      </c>
      <c r="D292" s="21" t="s">
        <v>110</v>
      </c>
      <c r="E292" s="13">
        <v>1</v>
      </c>
    </row>
    <row r="293" spans="1:5">
      <c r="A293" s="13" t="s">
        <v>162</v>
      </c>
      <c r="B293" s="13">
        <v>2021</v>
      </c>
      <c r="C293" s="21" t="s">
        <v>111</v>
      </c>
      <c r="D293" s="21" t="s">
        <v>112</v>
      </c>
      <c r="E293" s="13">
        <v>1</v>
      </c>
    </row>
    <row r="294" spans="1:5">
      <c r="A294" s="13" t="s">
        <v>162</v>
      </c>
      <c r="B294" s="13">
        <v>2022</v>
      </c>
      <c r="C294" s="21" t="s">
        <v>111</v>
      </c>
      <c r="D294" s="21" t="s">
        <v>110</v>
      </c>
      <c r="E294" s="13">
        <v>1</v>
      </c>
    </row>
    <row r="295" spans="1:5">
      <c r="A295" s="13" t="s">
        <v>162</v>
      </c>
      <c r="B295" s="13">
        <v>2024</v>
      </c>
      <c r="C295" s="21" t="s">
        <v>222</v>
      </c>
      <c r="D295" s="21" t="s">
        <v>112</v>
      </c>
      <c r="E295" s="13">
        <v>1</v>
      </c>
    </row>
    <row r="296" spans="1:5">
      <c r="A296" s="13" t="s">
        <v>163</v>
      </c>
      <c r="B296" s="13">
        <v>2020</v>
      </c>
      <c r="C296" s="21" t="s">
        <v>111</v>
      </c>
      <c r="D296" s="21" t="s">
        <v>110</v>
      </c>
      <c r="E296" s="13">
        <v>1</v>
      </c>
    </row>
    <row r="297" spans="1:5">
      <c r="A297" s="13" t="s">
        <v>163</v>
      </c>
      <c r="B297" s="13">
        <v>2021</v>
      </c>
      <c r="C297" s="21" t="s">
        <v>109</v>
      </c>
      <c r="D297" s="21" t="s">
        <v>112</v>
      </c>
      <c r="E297" s="13">
        <v>1</v>
      </c>
    </row>
    <row r="298" spans="1:5">
      <c r="A298" s="13" t="s">
        <v>163</v>
      </c>
      <c r="B298" s="13">
        <v>2021</v>
      </c>
      <c r="C298" s="21" t="s">
        <v>111</v>
      </c>
      <c r="D298" s="21" t="s">
        <v>112</v>
      </c>
      <c r="E298" s="13">
        <v>1</v>
      </c>
    </row>
    <row r="299" spans="1:5">
      <c r="A299" s="13" t="s">
        <v>163</v>
      </c>
      <c r="B299" s="13">
        <v>2022</v>
      </c>
      <c r="C299" s="21" t="s">
        <v>111</v>
      </c>
      <c r="D299" s="21" t="s">
        <v>110</v>
      </c>
      <c r="E299" s="13">
        <v>2</v>
      </c>
    </row>
    <row r="300" spans="1:5">
      <c r="A300" s="13" t="s">
        <v>163</v>
      </c>
      <c r="B300" s="13">
        <v>2022</v>
      </c>
      <c r="C300" s="21" t="s">
        <v>111</v>
      </c>
      <c r="D300" s="21" t="s">
        <v>112</v>
      </c>
      <c r="E300" s="13">
        <v>1</v>
      </c>
    </row>
    <row r="301" spans="1:5">
      <c r="A301" s="13" t="s">
        <v>163</v>
      </c>
      <c r="B301" s="13">
        <v>2025</v>
      </c>
      <c r="C301" s="21" t="s">
        <v>222</v>
      </c>
      <c r="D301" s="21" t="s">
        <v>110</v>
      </c>
      <c r="E301" s="13">
        <v>1</v>
      </c>
    </row>
    <row r="302" spans="1:5">
      <c r="A302" s="13" t="s">
        <v>99</v>
      </c>
      <c r="B302" s="13">
        <v>2020</v>
      </c>
      <c r="C302" s="21" t="s">
        <v>109</v>
      </c>
      <c r="D302" s="21" t="s">
        <v>112</v>
      </c>
      <c r="E302" s="13">
        <v>1</v>
      </c>
    </row>
    <row r="303" spans="1:5">
      <c r="A303" s="13" t="s">
        <v>99</v>
      </c>
      <c r="B303" s="13">
        <v>2020</v>
      </c>
      <c r="C303" s="21" t="s">
        <v>111</v>
      </c>
      <c r="D303" s="21" t="s">
        <v>110</v>
      </c>
      <c r="E303" s="13">
        <v>8</v>
      </c>
    </row>
    <row r="304" spans="1:5">
      <c r="A304" s="13" t="s">
        <v>99</v>
      </c>
      <c r="B304" s="13">
        <v>2020</v>
      </c>
      <c r="C304" s="21" t="s">
        <v>111</v>
      </c>
      <c r="D304" s="21" t="s">
        <v>112</v>
      </c>
      <c r="E304" s="13">
        <v>1</v>
      </c>
    </row>
    <row r="305" spans="1:5">
      <c r="A305" s="13" t="s">
        <v>99</v>
      </c>
      <c r="B305" s="13">
        <v>2021</v>
      </c>
      <c r="C305" s="21" t="s">
        <v>109</v>
      </c>
      <c r="D305" s="21" t="s">
        <v>110</v>
      </c>
      <c r="E305" s="13">
        <v>2</v>
      </c>
    </row>
    <row r="306" spans="1:5">
      <c r="A306" s="13" t="s">
        <v>99</v>
      </c>
      <c r="B306" s="13">
        <v>2021</v>
      </c>
      <c r="C306" s="21" t="s">
        <v>109</v>
      </c>
      <c r="D306" s="21" t="s">
        <v>112</v>
      </c>
      <c r="E306" s="13">
        <v>1</v>
      </c>
    </row>
    <row r="307" spans="1:5">
      <c r="A307" s="13" t="s">
        <v>99</v>
      </c>
      <c r="B307" s="13">
        <v>2021</v>
      </c>
      <c r="C307" s="21" t="s">
        <v>111</v>
      </c>
      <c r="D307" s="21" t="s">
        <v>110</v>
      </c>
      <c r="E307" s="13">
        <v>6</v>
      </c>
    </row>
    <row r="308" spans="1:5">
      <c r="A308" s="13" t="s">
        <v>99</v>
      </c>
      <c r="B308" s="13">
        <v>2021</v>
      </c>
      <c r="C308" s="21" t="s">
        <v>111</v>
      </c>
      <c r="D308" s="21" t="s">
        <v>112</v>
      </c>
      <c r="E308" s="13">
        <v>2</v>
      </c>
    </row>
    <row r="309" spans="1:5">
      <c r="A309" s="13" t="s">
        <v>99</v>
      </c>
      <c r="B309" s="13">
        <v>2022</v>
      </c>
      <c r="C309" s="21" t="s">
        <v>109</v>
      </c>
      <c r="D309" s="21" t="s">
        <v>110</v>
      </c>
      <c r="E309" s="13">
        <v>3</v>
      </c>
    </row>
    <row r="310" spans="1:5">
      <c r="A310" s="13" t="s">
        <v>99</v>
      </c>
      <c r="B310" s="13">
        <v>2022</v>
      </c>
      <c r="C310" s="21" t="s">
        <v>111</v>
      </c>
      <c r="D310" s="21" t="s">
        <v>110</v>
      </c>
      <c r="E310" s="13">
        <v>11</v>
      </c>
    </row>
    <row r="311" spans="1:5">
      <c r="A311" s="13" t="s">
        <v>99</v>
      </c>
      <c r="B311" s="13">
        <v>2022</v>
      </c>
      <c r="C311" s="21" t="s">
        <v>111</v>
      </c>
      <c r="D311" s="21" t="s">
        <v>112</v>
      </c>
      <c r="E311" s="13">
        <v>9</v>
      </c>
    </row>
    <row r="312" spans="1:5">
      <c r="A312" s="13" t="s">
        <v>99</v>
      </c>
      <c r="B312" s="13">
        <v>2023</v>
      </c>
      <c r="C312" s="21" t="s">
        <v>109</v>
      </c>
      <c r="D312" s="21" t="s">
        <v>110</v>
      </c>
      <c r="E312" s="13">
        <v>2</v>
      </c>
    </row>
    <row r="313" spans="1:5">
      <c r="A313" s="13" t="s">
        <v>99</v>
      </c>
      <c r="B313" s="13">
        <v>2023</v>
      </c>
      <c r="C313" s="21" t="s">
        <v>109</v>
      </c>
      <c r="D313" s="21" t="s">
        <v>112</v>
      </c>
      <c r="E313" s="13">
        <v>1</v>
      </c>
    </row>
    <row r="314" spans="1:5">
      <c r="A314" s="13" t="s">
        <v>99</v>
      </c>
      <c r="B314" s="13">
        <v>2023</v>
      </c>
      <c r="C314" s="21" t="s">
        <v>111</v>
      </c>
      <c r="D314" s="21" t="s">
        <v>110</v>
      </c>
      <c r="E314" s="13">
        <v>16</v>
      </c>
    </row>
    <row r="315" spans="1:5">
      <c r="A315" s="13" t="s">
        <v>99</v>
      </c>
      <c r="B315" s="13">
        <v>2023</v>
      </c>
      <c r="C315" s="21" t="s">
        <v>111</v>
      </c>
      <c r="D315" s="21" t="s">
        <v>112</v>
      </c>
      <c r="E315" s="13">
        <v>7</v>
      </c>
    </row>
    <row r="316" spans="1:5">
      <c r="A316" s="13" t="s">
        <v>99</v>
      </c>
      <c r="B316" s="13">
        <v>2024</v>
      </c>
      <c r="C316" s="21" t="s">
        <v>224</v>
      </c>
      <c r="D316" s="21" t="s">
        <v>110</v>
      </c>
      <c r="E316" s="13">
        <v>4</v>
      </c>
    </row>
    <row r="317" spans="1:5">
      <c r="A317" s="13" t="s">
        <v>99</v>
      </c>
      <c r="B317" s="13">
        <v>2024</v>
      </c>
      <c r="C317" s="21" t="s">
        <v>224</v>
      </c>
      <c r="D317" s="21" t="s">
        <v>112</v>
      </c>
      <c r="E317" s="13">
        <v>1</v>
      </c>
    </row>
    <row r="318" spans="1:5">
      <c r="A318" s="13" t="s">
        <v>99</v>
      </c>
      <c r="B318" s="13">
        <v>2024</v>
      </c>
      <c r="C318" s="21" t="s">
        <v>222</v>
      </c>
      <c r="D318" s="21" t="s">
        <v>110</v>
      </c>
      <c r="E318" s="13">
        <v>15</v>
      </c>
    </row>
    <row r="319" spans="1:5">
      <c r="A319" s="13" t="s">
        <v>99</v>
      </c>
      <c r="B319" s="13">
        <v>2024</v>
      </c>
      <c r="C319" s="21" t="s">
        <v>222</v>
      </c>
      <c r="D319" s="21" t="s">
        <v>112</v>
      </c>
      <c r="E319" s="13">
        <v>6</v>
      </c>
    </row>
    <row r="320" spans="1:5">
      <c r="A320" s="13" t="s">
        <v>99</v>
      </c>
      <c r="B320" s="13">
        <v>2025</v>
      </c>
      <c r="C320" s="21" t="s">
        <v>224</v>
      </c>
      <c r="D320" s="21" t="s">
        <v>110</v>
      </c>
      <c r="E320" s="13">
        <v>2</v>
      </c>
    </row>
    <row r="321" spans="1:5">
      <c r="A321" s="13" t="s">
        <v>99</v>
      </c>
      <c r="B321" s="13">
        <v>2025</v>
      </c>
      <c r="C321" s="21" t="s">
        <v>224</v>
      </c>
      <c r="D321" s="21" t="s">
        <v>112</v>
      </c>
      <c r="E321" s="13">
        <v>1</v>
      </c>
    </row>
    <row r="322" spans="1:5">
      <c r="A322" s="13" t="s">
        <v>99</v>
      </c>
      <c r="B322" s="13">
        <v>2025</v>
      </c>
      <c r="C322" s="21" t="s">
        <v>222</v>
      </c>
      <c r="D322" s="21" t="s">
        <v>110</v>
      </c>
      <c r="E322" s="13">
        <v>10</v>
      </c>
    </row>
    <row r="323" spans="1:5">
      <c r="A323" s="13" t="s">
        <v>99</v>
      </c>
      <c r="B323" s="13">
        <v>2025</v>
      </c>
      <c r="C323" s="21" t="s">
        <v>222</v>
      </c>
      <c r="D323" s="21" t="s">
        <v>112</v>
      </c>
      <c r="E323" s="13">
        <v>4</v>
      </c>
    </row>
    <row r="324" spans="1:5">
      <c r="A324" s="13" t="s">
        <v>164</v>
      </c>
      <c r="B324" s="13">
        <v>2023</v>
      </c>
      <c r="C324" s="21" t="s">
        <v>111</v>
      </c>
      <c r="D324" s="21" t="s">
        <v>110</v>
      </c>
      <c r="E324" s="13">
        <v>1</v>
      </c>
    </row>
    <row r="325" spans="1:5">
      <c r="A325" s="13" t="s">
        <v>165</v>
      </c>
      <c r="B325" s="13">
        <v>2021</v>
      </c>
      <c r="C325" s="21" t="s">
        <v>111</v>
      </c>
      <c r="D325" s="21" t="s">
        <v>110</v>
      </c>
      <c r="E325" s="13">
        <v>1</v>
      </c>
    </row>
    <row r="326" spans="1:5">
      <c r="A326" s="13" t="s">
        <v>165</v>
      </c>
      <c r="B326" s="13">
        <v>2022</v>
      </c>
      <c r="C326" s="21" t="s">
        <v>111</v>
      </c>
      <c r="D326" s="21" t="s">
        <v>110</v>
      </c>
      <c r="E326" s="13">
        <v>1</v>
      </c>
    </row>
    <row r="327" spans="1:5">
      <c r="A327" s="13" t="s">
        <v>165</v>
      </c>
      <c r="B327" s="13">
        <v>2023</v>
      </c>
      <c r="C327" s="21" t="s">
        <v>111</v>
      </c>
      <c r="D327" s="21" t="s">
        <v>110</v>
      </c>
      <c r="E327" s="13">
        <v>1</v>
      </c>
    </row>
    <row r="328" spans="1:5">
      <c r="A328" s="13" t="s">
        <v>165</v>
      </c>
      <c r="B328" s="13">
        <v>2023</v>
      </c>
      <c r="C328" s="21" t="s">
        <v>111</v>
      </c>
      <c r="D328" s="21" t="s">
        <v>112</v>
      </c>
      <c r="E328" s="13">
        <v>1</v>
      </c>
    </row>
    <row r="329" spans="1:5">
      <c r="A329" s="13" t="s">
        <v>166</v>
      </c>
      <c r="B329" s="13">
        <v>2022</v>
      </c>
      <c r="C329" s="21" t="s">
        <v>111</v>
      </c>
      <c r="D329" s="21" t="s">
        <v>112</v>
      </c>
      <c r="E329" s="13">
        <v>1</v>
      </c>
    </row>
    <row r="330" spans="1:5">
      <c r="A330" s="13" t="s">
        <v>166</v>
      </c>
      <c r="B330" s="13">
        <v>2024</v>
      </c>
      <c r="C330" s="21" t="s">
        <v>224</v>
      </c>
      <c r="D330" s="21" t="s">
        <v>110</v>
      </c>
      <c r="E330" s="13">
        <v>1</v>
      </c>
    </row>
    <row r="331" spans="1:5">
      <c r="A331" s="13" t="s">
        <v>166</v>
      </c>
      <c r="B331" s="13">
        <v>2024</v>
      </c>
      <c r="C331" s="21" t="s">
        <v>222</v>
      </c>
      <c r="D331" s="21" t="s">
        <v>112</v>
      </c>
      <c r="E331" s="13">
        <v>1</v>
      </c>
    </row>
    <row r="332" spans="1:5">
      <c r="A332" s="13" t="s">
        <v>167</v>
      </c>
      <c r="B332" s="13">
        <v>2022</v>
      </c>
      <c r="C332" s="21" t="s">
        <v>111</v>
      </c>
      <c r="D332" s="21" t="s">
        <v>112</v>
      </c>
      <c r="E332" s="13">
        <v>1</v>
      </c>
    </row>
    <row r="333" spans="1:5">
      <c r="A333" s="13" t="s">
        <v>233</v>
      </c>
      <c r="B333" s="13">
        <v>2024</v>
      </c>
      <c r="C333" s="21" t="s">
        <v>222</v>
      </c>
      <c r="D333" s="21" t="s">
        <v>110</v>
      </c>
      <c r="E333" s="13">
        <v>1</v>
      </c>
    </row>
    <row r="334" spans="1:5">
      <c r="A334" s="13" t="s">
        <v>168</v>
      </c>
      <c r="B334" s="13">
        <v>2020</v>
      </c>
      <c r="C334" s="21" t="s">
        <v>111</v>
      </c>
      <c r="D334" s="21" t="s">
        <v>110</v>
      </c>
      <c r="E334" s="13">
        <v>1</v>
      </c>
    </row>
    <row r="335" spans="1:5">
      <c r="A335" s="13" t="s">
        <v>100</v>
      </c>
      <c r="B335" s="13">
        <v>2020</v>
      </c>
      <c r="C335" s="21" t="s">
        <v>111</v>
      </c>
      <c r="D335" s="21" t="s">
        <v>112</v>
      </c>
      <c r="E335" s="13">
        <v>1</v>
      </c>
    </row>
    <row r="336" spans="1:5">
      <c r="A336" s="13" t="s">
        <v>100</v>
      </c>
      <c r="B336" s="13">
        <v>2023</v>
      </c>
      <c r="C336" s="21" t="s">
        <v>109</v>
      </c>
      <c r="D336" s="21" t="s">
        <v>112</v>
      </c>
      <c r="E336" s="13">
        <v>1</v>
      </c>
    </row>
    <row r="337" spans="1:5">
      <c r="A337" s="13" t="s">
        <v>169</v>
      </c>
      <c r="B337" s="13">
        <v>2022</v>
      </c>
      <c r="C337" s="21" t="s">
        <v>111</v>
      </c>
      <c r="D337" s="21" t="s">
        <v>112</v>
      </c>
      <c r="E337" s="13">
        <v>1</v>
      </c>
    </row>
    <row r="338" spans="1:5">
      <c r="A338" s="13" t="s">
        <v>170</v>
      </c>
      <c r="B338" s="13">
        <v>2021</v>
      </c>
      <c r="C338" s="21" t="s">
        <v>111</v>
      </c>
      <c r="D338" s="21" t="s">
        <v>110</v>
      </c>
      <c r="E338" s="13">
        <v>1</v>
      </c>
    </row>
    <row r="339" spans="1:5">
      <c r="A339" s="13" t="s">
        <v>170</v>
      </c>
      <c r="B339" s="13">
        <v>2023</v>
      </c>
      <c r="C339" s="21" t="s">
        <v>111</v>
      </c>
      <c r="D339" s="21" t="s">
        <v>110</v>
      </c>
      <c r="E339" s="13">
        <v>1</v>
      </c>
    </row>
    <row r="340" spans="1:5">
      <c r="A340" s="13" t="s">
        <v>170</v>
      </c>
      <c r="B340" s="13">
        <v>2024</v>
      </c>
      <c r="C340" s="21" t="s">
        <v>222</v>
      </c>
      <c r="D340" s="21" t="s">
        <v>110</v>
      </c>
      <c r="E340" s="13">
        <v>2</v>
      </c>
    </row>
    <row r="341" spans="1:5">
      <c r="A341" s="13" t="s">
        <v>170</v>
      </c>
      <c r="B341" s="13">
        <v>2024</v>
      </c>
      <c r="C341" s="21" t="s">
        <v>222</v>
      </c>
      <c r="D341" s="21" t="s">
        <v>112</v>
      </c>
      <c r="E341" s="13">
        <v>1</v>
      </c>
    </row>
    <row r="342" spans="1:5">
      <c r="A342" s="13" t="s">
        <v>171</v>
      </c>
      <c r="B342" s="13">
        <v>2021</v>
      </c>
      <c r="C342" s="21" t="s">
        <v>109</v>
      </c>
      <c r="D342" s="21" t="s">
        <v>112</v>
      </c>
      <c r="E342" s="13">
        <v>1</v>
      </c>
    </row>
    <row r="343" spans="1:5">
      <c r="A343" s="13" t="s">
        <v>171</v>
      </c>
      <c r="B343" s="13">
        <v>2021</v>
      </c>
      <c r="C343" s="21" t="s">
        <v>111</v>
      </c>
      <c r="D343" s="21" t="s">
        <v>112</v>
      </c>
      <c r="E343" s="13">
        <v>1</v>
      </c>
    </row>
    <row r="344" spans="1:5">
      <c r="A344" s="13" t="s">
        <v>171</v>
      </c>
      <c r="B344" s="13">
        <v>2022</v>
      </c>
      <c r="C344" s="21" t="s">
        <v>111</v>
      </c>
      <c r="D344" s="21" t="s">
        <v>110</v>
      </c>
      <c r="E344" s="13">
        <v>2</v>
      </c>
    </row>
    <row r="345" spans="1:5">
      <c r="A345" s="13" t="s">
        <v>171</v>
      </c>
      <c r="B345" s="13">
        <v>2023</v>
      </c>
      <c r="C345" s="21" t="s">
        <v>111</v>
      </c>
      <c r="D345" s="21" t="s">
        <v>110</v>
      </c>
      <c r="E345" s="13">
        <v>3</v>
      </c>
    </row>
    <row r="346" spans="1:5">
      <c r="A346" s="13" t="s">
        <v>171</v>
      </c>
      <c r="B346" s="13">
        <v>2023</v>
      </c>
      <c r="C346" s="21" t="s">
        <v>111</v>
      </c>
      <c r="D346" s="21" t="s">
        <v>112</v>
      </c>
      <c r="E346" s="13">
        <v>1</v>
      </c>
    </row>
    <row r="347" spans="1:5">
      <c r="A347" s="13" t="s">
        <v>171</v>
      </c>
      <c r="B347" s="13">
        <v>2024</v>
      </c>
      <c r="C347" s="21" t="s">
        <v>222</v>
      </c>
      <c r="D347" s="21" t="s">
        <v>110</v>
      </c>
      <c r="E347" s="13">
        <v>1</v>
      </c>
    </row>
    <row r="348" spans="1:5">
      <c r="A348" s="13" t="s">
        <v>171</v>
      </c>
      <c r="B348" s="13">
        <v>2024</v>
      </c>
      <c r="C348" s="21" t="s">
        <v>222</v>
      </c>
      <c r="D348" s="21" t="s">
        <v>112</v>
      </c>
      <c r="E348" s="13">
        <v>1</v>
      </c>
    </row>
    <row r="349" spans="1:5">
      <c r="A349" s="13" t="s">
        <v>172</v>
      </c>
      <c r="B349" s="13">
        <v>2022</v>
      </c>
      <c r="C349" s="21" t="s">
        <v>111</v>
      </c>
      <c r="D349" s="21" t="s">
        <v>110</v>
      </c>
      <c r="E349" s="13">
        <v>2</v>
      </c>
    </row>
    <row r="350" spans="1:5">
      <c r="A350" s="13" t="s">
        <v>173</v>
      </c>
      <c r="B350" s="13">
        <v>2020</v>
      </c>
      <c r="C350" s="21" t="s">
        <v>111</v>
      </c>
      <c r="D350" s="21" t="s">
        <v>112</v>
      </c>
      <c r="E350" s="13">
        <v>1</v>
      </c>
    </row>
    <row r="351" spans="1:5">
      <c r="A351" s="13" t="s">
        <v>173</v>
      </c>
      <c r="B351" s="13">
        <v>2022</v>
      </c>
      <c r="C351" s="21" t="s">
        <v>111</v>
      </c>
      <c r="D351" s="21" t="s">
        <v>110</v>
      </c>
      <c r="E351" s="13">
        <v>1</v>
      </c>
    </row>
    <row r="352" spans="1:5">
      <c r="A352" s="13" t="s">
        <v>174</v>
      </c>
      <c r="B352" s="13">
        <v>2022</v>
      </c>
      <c r="C352" s="21" t="s">
        <v>111</v>
      </c>
      <c r="D352" s="21" t="s">
        <v>110</v>
      </c>
      <c r="E352" s="13">
        <v>1</v>
      </c>
    </row>
    <row r="353" spans="1:5">
      <c r="A353" s="13" t="s">
        <v>174</v>
      </c>
      <c r="B353" s="13">
        <v>2025</v>
      </c>
      <c r="C353" s="21" t="s">
        <v>224</v>
      </c>
      <c r="D353" s="21" t="s">
        <v>110</v>
      </c>
      <c r="E353" s="13">
        <v>1</v>
      </c>
    </row>
    <row r="354" spans="1:5">
      <c r="A354" s="13" t="s">
        <v>234</v>
      </c>
      <c r="B354" s="13">
        <v>2024</v>
      </c>
      <c r="C354" s="21" t="s">
        <v>222</v>
      </c>
      <c r="D354" s="21" t="s">
        <v>110</v>
      </c>
      <c r="E354" s="13">
        <v>1</v>
      </c>
    </row>
    <row r="355" spans="1:5">
      <c r="A355" s="13" t="s">
        <v>175</v>
      </c>
      <c r="B355" s="13">
        <v>2022</v>
      </c>
      <c r="C355" s="21" t="s">
        <v>109</v>
      </c>
      <c r="D355" s="21" t="s">
        <v>110</v>
      </c>
      <c r="E355" s="13">
        <v>1</v>
      </c>
    </row>
    <row r="356" spans="1:5">
      <c r="A356" s="13" t="s">
        <v>175</v>
      </c>
      <c r="B356" s="13">
        <v>2023</v>
      </c>
      <c r="C356" s="21" t="s">
        <v>111</v>
      </c>
      <c r="D356" s="21" t="s">
        <v>110</v>
      </c>
      <c r="E356" s="13">
        <v>1</v>
      </c>
    </row>
    <row r="357" spans="1:5">
      <c r="A357" s="13" t="s">
        <v>175</v>
      </c>
      <c r="B357" s="13">
        <v>2024</v>
      </c>
      <c r="C357" s="21" t="s">
        <v>224</v>
      </c>
      <c r="D357" s="21" t="s">
        <v>112</v>
      </c>
      <c r="E357" s="13">
        <v>1</v>
      </c>
    </row>
    <row r="358" spans="1:5">
      <c r="A358" s="13" t="s">
        <v>235</v>
      </c>
      <c r="B358" s="13">
        <v>2025</v>
      </c>
      <c r="C358" s="21" t="s">
        <v>222</v>
      </c>
      <c r="D358" s="21" t="s">
        <v>112</v>
      </c>
      <c r="E358" s="13">
        <v>1</v>
      </c>
    </row>
    <row r="359" spans="1:5">
      <c r="A359" s="13" t="s">
        <v>176</v>
      </c>
      <c r="B359" s="13">
        <v>2021</v>
      </c>
      <c r="C359" s="21" t="s">
        <v>111</v>
      </c>
      <c r="D359" s="21" t="s">
        <v>110</v>
      </c>
      <c r="E359" s="13">
        <v>1</v>
      </c>
    </row>
    <row r="360" spans="1:5">
      <c r="A360" s="13" t="s">
        <v>176</v>
      </c>
      <c r="B360" s="13">
        <v>2023</v>
      </c>
      <c r="C360" s="21" t="s">
        <v>111</v>
      </c>
      <c r="D360" s="21" t="s">
        <v>112</v>
      </c>
      <c r="E360" s="13">
        <v>1</v>
      </c>
    </row>
    <row r="361" spans="1:5">
      <c r="A361" s="13" t="s">
        <v>176</v>
      </c>
      <c r="B361" s="13">
        <v>2025</v>
      </c>
      <c r="C361" s="21" t="s">
        <v>224</v>
      </c>
      <c r="D361" s="21" t="s">
        <v>110</v>
      </c>
      <c r="E361" s="13">
        <v>1</v>
      </c>
    </row>
    <row r="362" spans="1:5">
      <c r="A362" s="13" t="s">
        <v>176</v>
      </c>
      <c r="B362" s="13">
        <v>2025</v>
      </c>
      <c r="C362" s="21" t="s">
        <v>222</v>
      </c>
      <c r="D362" s="21" t="s">
        <v>110</v>
      </c>
      <c r="E362" s="13">
        <v>1</v>
      </c>
    </row>
    <row r="363" spans="1:5">
      <c r="A363" s="13" t="s">
        <v>176</v>
      </c>
      <c r="B363" s="13">
        <v>2025</v>
      </c>
      <c r="C363" s="21" t="s">
        <v>222</v>
      </c>
      <c r="D363" s="21" t="s">
        <v>112</v>
      </c>
      <c r="E363" s="13">
        <v>1</v>
      </c>
    </row>
    <row r="364" spans="1:5">
      <c r="A364" s="13" t="s">
        <v>101</v>
      </c>
      <c r="B364" s="13">
        <v>2022</v>
      </c>
      <c r="C364" s="21" t="s">
        <v>111</v>
      </c>
      <c r="D364" s="21" t="s">
        <v>110</v>
      </c>
      <c r="E364" s="13">
        <v>1</v>
      </c>
    </row>
    <row r="365" spans="1:5">
      <c r="A365" s="13" t="s">
        <v>101</v>
      </c>
      <c r="B365" s="13">
        <v>2023</v>
      </c>
      <c r="C365" s="21" t="s">
        <v>111</v>
      </c>
      <c r="D365" s="21" t="s">
        <v>110</v>
      </c>
      <c r="E365" s="13">
        <v>1</v>
      </c>
    </row>
    <row r="366" spans="1:5">
      <c r="A366" s="13" t="s">
        <v>102</v>
      </c>
      <c r="B366" s="13">
        <v>2021</v>
      </c>
      <c r="C366" s="21" t="s">
        <v>111</v>
      </c>
      <c r="D366" s="21" t="s">
        <v>110</v>
      </c>
      <c r="E366" s="13">
        <v>1</v>
      </c>
    </row>
    <row r="367" spans="1:5">
      <c r="A367" s="13" t="s">
        <v>103</v>
      </c>
      <c r="B367" s="13">
        <v>2021</v>
      </c>
      <c r="C367" s="21" t="s">
        <v>111</v>
      </c>
      <c r="D367" s="21" t="s">
        <v>110</v>
      </c>
      <c r="E367" s="13">
        <v>2</v>
      </c>
    </row>
    <row r="368" spans="1:5">
      <c r="A368" s="13" t="s">
        <v>103</v>
      </c>
      <c r="B368" s="13">
        <v>2024</v>
      </c>
      <c r="C368" s="21" t="s">
        <v>222</v>
      </c>
      <c r="D368" s="21" t="s">
        <v>110</v>
      </c>
      <c r="E368" s="13">
        <v>2</v>
      </c>
    </row>
    <row r="369" spans="1:5">
      <c r="A369" s="13" t="s">
        <v>103</v>
      </c>
      <c r="B369" s="13">
        <v>2024</v>
      </c>
      <c r="C369" s="21" t="s">
        <v>222</v>
      </c>
      <c r="D369" s="21" t="s">
        <v>112</v>
      </c>
      <c r="E369" s="13">
        <v>2</v>
      </c>
    </row>
    <row r="370" spans="1:5">
      <c r="A370" s="13" t="s">
        <v>177</v>
      </c>
      <c r="B370" s="13">
        <v>2021</v>
      </c>
      <c r="C370" s="21" t="s">
        <v>109</v>
      </c>
      <c r="D370" s="21" t="s">
        <v>112</v>
      </c>
      <c r="E370" s="13">
        <v>1</v>
      </c>
    </row>
    <row r="371" spans="1:5">
      <c r="A371" s="13" t="s">
        <v>178</v>
      </c>
      <c r="B371" s="13">
        <v>2023</v>
      </c>
      <c r="C371" s="21" t="s">
        <v>111</v>
      </c>
      <c r="D371" s="21" t="s">
        <v>112</v>
      </c>
      <c r="E371" s="13">
        <v>1</v>
      </c>
    </row>
    <row r="372" spans="1:5">
      <c r="C372" s="16"/>
      <c r="D372" s="16"/>
    </row>
    <row r="373" spans="1:5" ht="15" customHeight="1">
      <c r="A373" s="1" t="s">
        <v>10</v>
      </c>
      <c r="B373" s="1" t="s">
        <v>11</v>
      </c>
    </row>
    <row r="374" spans="1:5" ht="15" customHeight="1">
      <c r="A374" s="1" t="s">
        <v>12</v>
      </c>
      <c r="B374" s="1" t="s">
        <v>179</v>
      </c>
    </row>
    <row r="375" spans="1:5" ht="15" customHeight="1">
      <c r="A375" s="1" t="s">
        <v>14</v>
      </c>
      <c r="B375" s="1" t="s">
        <v>180</v>
      </c>
    </row>
    <row r="376" spans="1:5" ht="15" customHeight="1">
      <c r="A376" s="1" t="s">
        <v>5</v>
      </c>
      <c r="B376" s="1" t="s">
        <v>6</v>
      </c>
    </row>
  </sheetData>
  <autoFilter ref="A1:E376" xr:uid="{00000000-0001-0000-0200-000000000000}"/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B9"/>
  <sheetViews>
    <sheetView zoomScale="80" zoomScaleNormal="80" workbookViewId="0">
      <selection activeCell="B3" sqref="B2:B3"/>
    </sheetView>
  </sheetViews>
  <sheetFormatPr baseColWidth="10" defaultRowHeight="15"/>
  <sheetData>
    <row r="1" spans="1:2">
      <c r="A1" t="s">
        <v>19</v>
      </c>
      <c r="B1" s="4" t="s">
        <v>9</v>
      </c>
    </row>
    <row r="2" spans="1:2">
      <c r="A2" s="13" t="s">
        <v>84</v>
      </c>
      <c r="B2">
        <v>282</v>
      </c>
    </row>
    <row r="3" spans="1:2">
      <c r="A3" s="13" t="s">
        <v>83</v>
      </c>
      <c r="B3">
        <v>590</v>
      </c>
    </row>
    <row r="5" spans="1:2">
      <c r="A5" s="1" t="s">
        <v>12</v>
      </c>
      <c r="B5" s="1" t="s">
        <v>181</v>
      </c>
    </row>
    <row r="6" spans="1:2">
      <c r="A6" s="1" t="s">
        <v>14</v>
      </c>
      <c r="B6" s="1" t="s">
        <v>198</v>
      </c>
    </row>
    <row r="7" spans="1:2">
      <c r="A7" s="1" t="s">
        <v>5</v>
      </c>
      <c r="B7" s="1" t="s">
        <v>6</v>
      </c>
    </row>
    <row r="9" spans="1:2">
      <c r="A9" t="s">
        <v>10</v>
      </c>
      <c r="B9" t="s">
        <v>18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64B3-BCF5-4C50-B21D-7AB08D11EC87}">
  <dimension ref="A1:H1004"/>
  <sheetViews>
    <sheetView topLeftCell="A15" workbookViewId="0">
      <selection activeCell="B17" sqref="B17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5" width="9.140625" customWidth="1"/>
    <col min="6" max="18" width="10.7109375" customWidth="1"/>
  </cols>
  <sheetData>
    <row r="1" spans="1:8">
      <c r="A1" s="7" t="s">
        <v>3</v>
      </c>
      <c r="B1" s="7" t="s">
        <v>27</v>
      </c>
      <c r="C1" s="14" t="s">
        <v>109</v>
      </c>
      <c r="D1" s="14" t="s">
        <v>111</v>
      </c>
      <c r="E1" s="7" t="s">
        <v>4</v>
      </c>
      <c r="H1" s="2"/>
    </row>
    <row r="2" spans="1:8">
      <c r="A2" s="8">
        <v>2020</v>
      </c>
      <c r="B2" s="11" t="s">
        <v>28</v>
      </c>
      <c r="C2">
        <v>7</v>
      </c>
      <c r="D2">
        <v>44</v>
      </c>
      <c r="E2" s="9">
        <f t="shared" ref="E2:E13" si="0">SUM(C2:D2)</f>
        <v>51</v>
      </c>
    </row>
    <row r="3" spans="1:8">
      <c r="A3" s="8">
        <v>2020</v>
      </c>
      <c r="B3" s="11" t="s">
        <v>29</v>
      </c>
      <c r="C3">
        <v>3</v>
      </c>
      <c r="D3">
        <v>34</v>
      </c>
      <c r="E3" s="9">
        <f t="shared" si="0"/>
        <v>37</v>
      </c>
    </row>
    <row r="4" spans="1:8">
      <c r="A4" s="8">
        <v>2021</v>
      </c>
      <c r="B4" s="11" t="s">
        <v>28</v>
      </c>
      <c r="C4">
        <v>12</v>
      </c>
      <c r="D4">
        <v>30</v>
      </c>
      <c r="E4" s="9">
        <f t="shared" si="0"/>
        <v>42</v>
      </c>
    </row>
    <row r="5" spans="1:8">
      <c r="A5" s="8">
        <v>2021</v>
      </c>
      <c r="B5" s="11" t="s">
        <v>29</v>
      </c>
      <c r="C5">
        <v>8</v>
      </c>
      <c r="D5">
        <v>72</v>
      </c>
      <c r="E5" s="9">
        <f t="shared" si="0"/>
        <v>80</v>
      </c>
    </row>
    <row r="6" spans="1:8">
      <c r="A6" s="8">
        <v>2022</v>
      </c>
      <c r="B6" s="11" t="s">
        <v>28</v>
      </c>
      <c r="C6">
        <v>11</v>
      </c>
      <c r="D6">
        <v>64</v>
      </c>
      <c r="E6" s="9">
        <f t="shared" si="0"/>
        <v>75</v>
      </c>
    </row>
    <row r="7" spans="1:8">
      <c r="A7" s="8">
        <v>2022</v>
      </c>
      <c r="B7" s="11" t="s">
        <v>29</v>
      </c>
      <c r="C7">
        <v>13</v>
      </c>
      <c r="D7">
        <v>80</v>
      </c>
      <c r="E7" s="9">
        <f t="shared" si="0"/>
        <v>93</v>
      </c>
    </row>
    <row r="8" spans="1:8">
      <c r="A8" s="8">
        <v>2023</v>
      </c>
      <c r="B8" s="11" t="s">
        <v>28</v>
      </c>
      <c r="C8">
        <v>9</v>
      </c>
      <c r="D8">
        <v>71</v>
      </c>
      <c r="E8" s="9">
        <f t="shared" si="0"/>
        <v>80</v>
      </c>
    </row>
    <row r="9" spans="1:8">
      <c r="A9" s="8">
        <v>2023</v>
      </c>
      <c r="B9" s="11" t="s">
        <v>29</v>
      </c>
      <c r="C9">
        <v>8</v>
      </c>
      <c r="D9">
        <v>101</v>
      </c>
      <c r="E9" s="9">
        <f t="shared" si="0"/>
        <v>109</v>
      </c>
    </row>
    <row r="10" spans="1:8">
      <c r="A10" s="8">
        <v>2024</v>
      </c>
      <c r="B10" s="11" t="s">
        <v>28</v>
      </c>
      <c r="C10">
        <v>23</v>
      </c>
      <c r="D10">
        <v>85</v>
      </c>
      <c r="E10" s="9">
        <f t="shared" si="0"/>
        <v>108</v>
      </c>
    </row>
    <row r="11" spans="1:8">
      <c r="A11" s="8">
        <v>2023</v>
      </c>
      <c r="B11" s="11" t="s">
        <v>29</v>
      </c>
      <c r="C11">
        <v>13</v>
      </c>
      <c r="D11">
        <v>85</v>
      </c>
      <c r="E11" s="9">
        <f t="shared" si="0"/>
        <v>98</v>
      </c>
    </row>
    <row r="12" spans="1:8">
      <c r="A12" s="8">
        <v>2025</v>
      </c>
      <c r="B12" s="11" t="s">
        <v>28</v>
      </c>
      <c r="C12">
        <v>16</v>
      </c>
      <c r="D12">
        <v>83</v>
      </c>
      <c r="E12" s="9">
        <f t="shared" si="0"/>
        <v>99</v>
      </c>
    </row>
    <row r="13" spans="1:8">
      <c r="A13" s="10" t="s">
        <v>20</v>
      </c>
      <c r="B13" s="10"/>
      <c r="C13" s="9">
        <f>SUM(C2:C12)</f>
        <v>123</v>
      </c>
      <c r="D13" s="9">
        <f>SUM(D2:D12)</f>
        <v>749</v>
      </c>
      <c r="E13" s="9">
        <f t="shared" si="0"/>
        <v>872</v>
      </c>
    </row>
    <row r="15" spans="1:8">
      <c r="A15" s="1" t="s">
        <v>0</v>
      </c>
      <c r="B15" s="1" t="s">
        <v>182</v>
      </c>
      <c r="C15" s="1"/>
    </row>
    <row r="16" spans="1:8">
      <c r="A16" s="5" t="s">
        <v>14</v>
      </c>
      <c r="B16" s="1" t="s">
        <v>199</v>
      </c>
      <c r="C16" s="5"/>
    </row>
    <row r="17" spans="1:3">
      <c r="A17" s="1" t="s">
        <v>5</v>
      </c>
      <c r="B17" s="1" t="s">
        <v>108</v>
      </c>
      <c r="C17" s="1"/>
    </row>
    <row r="18" spans="1:3">
      <c r="A18" s="1" t="s">
        <v>7</v>
      </c>
      <c r="B18" s="1" t="s">
        <v>23</v>
      </c>
      <c r="C18" s="1"/>
    </row>
    <row r="19" spans="1:3" ht="15" customHeight="1">
      <c r="A19" s="1"/>
      <c r="B19" s="1"/>
      <c r="C19" s="1"/>
    </row>
    <row r="20" spans="1:3" ht="15" customHeight="1">
      <c r="A20" s="1" t="s">
        <v>10</v>
      </c>
      <c r="B20" s="1" t="s">
        <v>16</v>
      </c>
      <c r="C20" s="1"/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EB01-ABC3-43E0-88E7-19D3BBE3BAC1}">
  <dimension ref="A1:BN9"/>
  <sheetViews>
    <sheetView topLeftCell="AV1" zoomScale="80" zoomScaleNormal="80" workbookViewId="0">
      <selection activeCell="BN2" sqref="BI2:BN2"/>
    </sheetView>
  </sheetViews>
  <sheetFormatPr baseColWidth="10" defaultRowHeight="15"/>
  <sheetData>
    <row r="1" spans="1:66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6" t="s">
        <v>44</v>
      </c>
      <c r="P1" s="6" t="s">
        <v>45</v>
      </c>
      <c r="Q1" s="6" t="s">
        <v>46</v>
      </c>
      <c r="R1" s="6" t="s">
        <v>47</v>
      </c>
      <c r="S1" s="6" t="s">
        <v>48</v>
      </c>
      <c r="T1" s="6" t="s">
        <v>49</v>
      </c>
      <c r="U1" s="6" t="s">
        <v>50</v>
      </c>
      <c r="V1" s="6" t="s">
        <v>51</v>
      </c>
      <c r="W1" s="6" t="s">
        <v>52</v>
      </c>
      <c r="X1" s="6" t="s">
        <v>53</v>
      </c>
      <c r="Y1" s="6" t="s">
        <v>54</v>
      </c>
      <c r="Z1" s="6" t="s">
        <v>55</v>
      </c>
      <c r="AA1" s="6" t="s">
        <v>56</v>
      </c>
      <c r="AB1" s="6" t="s">
        <v>57</v>
      </c>
      <c r="AC1" s="6" t="s">
        <v>58</v>
      </c>
      <c r="AD1" s="6" t="s">
        <v>59</v>
      </c>
      <c r="AE1" s="6" t="s">
        <v>60</v>
      </c>
      <c r="AF1" s="6" t="s">
        <v>61</v>
      </c>
      <c r="AG1" s="6" t="s">
        <v>62</v>
      </c>
      <c r="AH1" s="6" t="s">
        <v>63</v>
      </c>
      <c r="AI1" s="6" t="s">
        <v>64</v>
      </c>
      <c r="AJ1" s="6" t="s">
        <v>65</v>
      </c>
      <c r="AK1" s="6" t="s">
        <v>66</v>
      </c>
      <c r="AL1" s="6" t="s">
        <v>67</v>
      </c>
      <c r="AM1" s="6" t="s">
        <v>68</v>
      </c>
      <c r="AN1" s="6" t="s">
        <v>69</v>
      </c>
      <c r="AO1" s="6" t="s">
        <v>70</v>
      </c>
      <c r="AP1" s="6" t="s">
        <v>71</v>
      </c>
      <c r="AQ1" s="6" t="s">
        <v>72</v>
      </c>
      <c r="AR1" s="6" t="s">
        <v>73</v>
      </c>
      <c r="AS1" s="6" t="s">
        <v>74</v>
      </c>
      <c r="AT1" s="6" t="s">
        <v>75</v>
      </c>
      <c r="AU1" s="6" t="s">
        <v>76</v>
      </c>
      <c r="AV1" s="6" t="s">
        <v>77</v>
      </c>
      <c r="AW1" s="6" t="s">
        <v>200</v>
      </c>
      <c r="AX1" s="6" t="s">
        <v>201</v>
      </c>
      <c r="AY1" s="6" t="s">
        <v>202</v>
      </c>
      <c r="AZ1" s="6" t="s">
        <v>203</v>
      </c>
      <c r="BA1" s="6" t="s">
        <v>204</v>
      </c>
      <c r="BB1" s="6" t="s">
        <v>205</v>
      </c>
      <c r="BC1" s="6" t="s">
        <v>206</v>
      </c>
      <c r="BD1" s="6" t="s">
        <v>207</v>
      </c>
      <c r="BE1" s="6" t="s">
        <v>208</v>
      </c>
      <c r="BF1" s="6" t="s">
        <v>209</v>
      </c>
      <c r="BG1" s="6" t="s">
        <v>210</v>
      </c>
      <c r="BH1" s="6" t="s">
        <v>211</v>
      </c>
      <c r="BI1" s="6" t="s">
        <v>212</v>
      </c>
      <c r="BJ1" s="6" t="s">
        <v>213</v>
      </c>
      <c r="BK1" s="6" t="s">
        <v>214</v>
      </c>
      <c r="BL1" s="6" t="s">
        <v>215</v>
      </c>
      <c r="BM1" s="6" t="s">
        <v>216</v>
      </c>
      <c r="BN1" s="6" t="s">
        <v>217</v>
      </c>
    </row>
    <row r="2" spans="1:66">
      <c r="A2" s="12">
        <v>7</v>
      </c>
      <c r="B2" s="12">
        <v>9</v>
      </c>
      <c r="C2" s="12">
        <v>13</v>
      </c>
      <c r="D2" s="12">
        <v>8</v>
      </c>
      <c r="E2" s="12">
        <v>7</v>
      </c>
      <c r="F2" s="12">
        <v>7</v>
      </c>
      <c r="G2" s="12">
        <v>8</v>
      </c>
      <c r="H2" s="12">
        <v>6</v>
      </c>
      <c r="I2" s="12">
        <v>7</v>
      </c>
      <c r="J2" s="12">
        <v>7</v>
      </c>
      <c r="K2" s="12">
        <v>8</v>
      </c>
      <c r="L2" s="12">
        <v>1</v>
      </c>
      <c r="M2" s="12">
        <v>7</v>
      </c>
      <c r="N2" s="12">
        <v>10</v>
      </c>
      <c r="O2" s="12">
        <v>8</v>
      </c>
      <c r="P2" s="12">
        <v>4</v>
      </c>
      <c r="Q2" s="12">
        <v>8</v>
      </c>
      <c r="R2" s="12">
        <v>5</v>
      </c>
      <c r="S2" s="12">
        <v>12</v>
      </c>
      <c r="T2" s="12">
        <v>14</v>
      </c>
      <c r="U2" s="12">
        <v>15</v>
      </c>
      <c r="V2" s="12">
        <v>13</v>
      </c>
      <c r="W2" s="12">
        <v>14</v>
      </c>
      <c r="X2" s="12">
        <v>12</v>
      </c>
      <c r="Y2" s="12">
        <v>12</v>
      </c>
      <c r="Z2" s="12">
        <v>10</v>
      </c>
      <c r="AA2" s="12">
        <v>17</v>
      </c>
      <c r="AB2" s="12">
        <v>11</v>
      </c>
      <c r="AC2" s="12">
        <v>16</v>
      </c>
      <c r="AD2" s="12">
        <v>9</v>
      </c>
      <c r="AE2" s="12">
        <v>15</v>
      </c>
      <c r="AF2" s="12">
        <v>20</v>
      </c>
      <c r="AG2" s="12">
        <v>9</v>
      </c>
      <c r="AH2" s="12">
        <v>20</v>
      </c>
      <c r="AI2" s="12">
        <v>13</v>
      </c>
      <c r="AJ2" s="12">
        <v>16</v>
      </c>
      <c r="AK2" s="12">
        <v>15</v>
      </c>
      <c r="AL2" s="12">
        <v>13</v>
      </c>
      <c r="AM2" s="12">
        <v>11</v>
      </c>
      <c r="AN2" s="12">
        <v>13</v>
      </c>
      <c r="AO2" s="12">
        <v>13</v>
      </c>
      <c r="AP2" s="12">
        <v>15</v>
      </c>
      <c r="AQ2" s="12">
        <v>14</v>
      </c>
      <c r="AR2" s="12">
        <v>15</v>
      </c>
      <c r="AS2" s="12">
        <v>20</v>
      </c>
      <c r="AT2" s="12">
        <v>16</v>
      </c>
      <c r="AU2" s="12">
        <v>21</v>
      </c>
      <c r="AV2" s="12">
        <v>23</v>
      </c>
      <c r="AW2" s="12">
        <v>16</v>
      </c>
      <c r="AX2" s="12">
        <v>24</v>
      </c>
      <c r="AY2" s="12">
        <v>14</v>
      </c>
      <c r="AZ2" s="12">
        <v>15</v>
      </c>
      <c r="BA2" s="12">
        <v>21</v>
      </c>
      <c r="BB2" s="12">
        <v>18</v>
      </c>
      <c r="BC2" s="12">
        <v>20</v>
      </c>
      <c r="BD2" s="12">
        <v>20</v>
      </c>
      <c r="BE2" s="12">
        <v>24</v>
      </c>
      <c r="BF2" s="12">
        <v>2</v>
      </c>
      <c r="BG2" s="12">
        <v>16</v>
      </c>
      <c r="BH2" s="12">
        <v>16</v>
      </c>
      <c r="BI2" s="12">
        <v>19</v>
      </c>
      <c r="BJ2" s="12">
        <v>16</v>
      </c>
      <c r="BK2" s="12">
        <v>13</v>
      </c>
      <c r="BL2" s="12">
        <v>19</v>
      </c>
      <c r="BM2" s="12">
        <v>17</v>
      </c>
      <c r="BN2" s="12">
        <v>15</v>
      </c>
    </row>
    <row r="4" spans="1:66">
      <c r="A4" s="1" t="s">
        <v>12</v>
      </c>
      <c r="B4" s="1" t="s">
        <v>183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66">
      <c r="A5" s="1" t="s">
        <v>14</v>
      </c>
      <c r="B5" s="1" t="s">
        <v>184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66">
      <c r="A6" s="1" t="s">
        <v>5</v>
      </c>
      <c r="B6" s="5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66">
      <c r="A7" s="1" t="s">
        <v>7</v>
      </c>
      <c r="B7" s="1" t="s">
        <v>21</v>
      </c>
      <c r="C7" s="1"/>
      <c r="D7" s="1"/>
      <c r="E7" s="1"/>
      <c r="F7" s="1"/>
      <c r="G7" s="1"/>
      <c r="H7" s="1"/>
      <c r="I7" s="1"/>
      <c r="J7" s="1"/>
      <c r="K7" s="1"/>
      <c r="L7" s="1"/>
    </row>
    <row r="9" spans="1:66">
      <c r="A9" t="s">
        <v>10</v>
      </c>
      <c r="B9" t="s">
        <v>22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623E-46DC-42D1-A2A4-408EAD675734}">
  <dimension ref="A1:I1004"/>
  <sheetViews>
    <sheetView topLeftCell="A16" workbookViewId="0">
      <selection activeCell="B18" sqref="B18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6" width="9.140625" customWidth="1"/>
    <col min="7" max="19" width="10.7109375" customWidth="1"/>
  </cols>
  <sheetData>
    <row r="1" spans="1:9">
      <c r="A1" s="7" t="s">
        <v>3</v>
      </c>
      <c r="B1" s="7" t="s">
        <v>27</v>
      </c>
      <c r="C1" s="14" t="s">
        <v>185</v>
      </c>
      <c r="D1" s="14" t="s">
        <v>186</v>
      </c>
      <c r="E1" s="20" t="s">
        <v>218</v>
      </c>
      <c r="F1" s="7" t="s">
        <v>4</v>
      </c>
      <c r="I1" s="2"/>
    </row>
    <row r="2" spans="1:9">
      <c r="A2" s="8">
        <v>2020</v>
      </c>
      <c r="B2" s="11" t="s">
        <v>28</v>
      </c>
      <c r="C2">
        <v>50</v>
      </c>
      <c r="D2">
        <v>1</v>
      </c>
      <c r="F2" s="9">
        <f>SUM(C2:E2)</f>
        <v>51</v>
      </c>
    </row>
    <row r="3" spans="1:9">
      <c r="A3" s="8">
        <v>2020</v>
      </c>
      <c r="B3" s="11" t="s">
        <v>29</v>
      </c>
      <c r="C3">
        <v>37</v>
      </c>
      <c r="F3" s="9">
        <f t="shared" ref="F3:F13" si="0">SUM(C3:E3)</f>
        <v>37</v>
      </c>
    </row>
    <row r="4" spans="1:9">
      <c r="A4" s="8">
        <v>2021</v>
      </c>
      <c r="B4" s="11" t="s">
        <v>28</v>
      </c>
      <c r="C4">
        <v>42</v>
      </c>
      <c r="F4" s="9">
        <f t="shared" si="0"/>
        <v>42</v>
      </c>
    </row>
    <row r="5" spans="1:9">
      <c r="A5" s="8">
        <v>2021</v>
      </c>
      <c r="B5" s="11" t="s">
        <v>29</v>
      </c>
      <c r="C5">
        <v>77</v>
      </c>
      <c r="D5">
        <v>3</v>
      </c>
      <c r="F5" s="9">
        <f t="shared" si="0"/>
        <v>80</v>
      </c>
    </row>
    <row r="6" spans="1:9">
      <c r="A6" s="8">
        <v>2022</v>
      </c>
      <c r="B6" s="11" t="s">
        <v>28</v>
      </c>
      <c r="C6">
        <v>74</v>
      </c>
      <c r="D6">
        <v>1</v>
      </c>
      <c r="F6" s="9">
        <f t="shared" si="0"/>
        <v>75</v>
      </c>
    </row>
    <row r="7" spans="1:9">
      <c r="A7" s="8">
        <v>2022</v>
      </c>
      <c r="B7" s="11" t="s">
        <v>29</v>
      </c>
      <c r="C7">
        <v>92</v>
      </c>
      <c r="D7">
        <v>1</v>
      </c>
      <c r="F7" s="9">
        <f t="shared" si="0"/>
        <v>93</v>
      </c>
    </row>
    <row r="8" spans="1:9">
      <c r="A8" s="8">
        <v>2023</v>
      </c>
      <c r="B8" s="11" t="s">
        <v>28</v>
      </c>
      <c r="C8">
        <v>79</v>
      </c>
      <c r="D8">
        <v>1</v>
      </c>
      <c r="F8" s="9">
        <f t="shared" si="0"/>
        <v>80</v>
      </c>
    </row>
    <row r="9" spans="1:9">
      <c r="A9" s="8">
        <v>2023</v>
      </c>
      <c r="B9" s="11" t="s">
        <v>29</v>
      </c>
      <c r="C9">
        <v>107</v>
      </c>
      <c r="D9">
        <v>2</v>
      </c>
      <c r="F9" s="9">
        <f t="shared" si="0"/>
        <v>109</v>
      </c>
    </row>
    <row r="10" spans="1:9">
      <c r="A10" s="8">
        <v>2024</v>
      </c>
      <c r="B10" s="11" t="s">
        <v>28</v>
      </c>
      <c r="C10">
        <v>107</v>
      </c>
      <c r="D10">
        <v>1</v>
      </c>
      <c r="F10" s="9">
        <f t="shared" si="0"/>
        <v>108</v>
      </c>
    </row>
    <row r="11" spans="1:9">
      <c r="A11" s="8">
        <v>2024</v>
      </c>
      <c r="B11" s="11" t="s">
        <v>29</v>
      </c>
      <c r="C11">
        <v>97</v>
      </c>
      <c r="D11">
        <v>1</v>
      </c>
      <c r="F11" s="9">
        <f t="shared" si="0"/>
        <v>98</v>
      </c>
    </row>
    <row r="12" spans="1:9">
      <c r="A12" s="8">
        <v>2025</v>
      </c>
      <c r="B12" s="11" t="s">
        <v>28</v>
      </c>
      <c r="C12">
        <v>94</v>
      </c>
      <c r="D12">
        <v>1</v>
      </c>
      <c r="E12">
        <v>4</v>
      </c>
      <c r="F12" s="9">
        <f t="shared" si="0"/>
        <v>99</v>
      </c>
    </row>
    <row r="13" spans="1:9">
      <c r="A13" s="10" t="s">
        <v>20</v>
      </c>
      <c r="B13" s="10"/>
      <c r="C13" s="9">
        <f>SUM(C2:C12)</f>
        <v>856</v>
      </c>
      <c r="D13" s="9">
        <f>SUM(D2:D12)</f>
        <v>12</v>
      </c>
      <c r="E13" s="9">
        <f>SUM(E2:E12)</f>
        <v>4</v>
      </c>
      <c r="F13" s="9">
        <f t="shared" si="0"/>
        <v>872</v>
      </c>
    </row>
    <row r="15" spans="1:9">
      <c r="A15" s="1" t="s">
        <v>0</v>
      </c>
      <c r="B15" s="1" t="s">
        <v>187</v>
      </c>
      <c r="C15" s="1"/>
    </row>
    <row r="16" spans="1:9">
      <c r="A16" s="5" t="s">
        <v>14</v>
      </c>
      <c r="B16" s="1" t="s">
        <v>219</v>
      </c>
      <c r="C16" s="5"/>
    </row>
    <row r="17" spans="1:3">
      <c r="A17" s="1" t="s">
        <v>5</v>
      </c>
      <c r="B17" s="1" t="s">
        <v>220</v>
      </c>
      <c r="C17" s="1"/>
    </row>
    <row r="18" spans="1:3">
      <c r="A18" s="1" t="s">
        <v>7</v>
      </c>
      <c r="B18" s="1" t="s">
        <v>23</v>
      </c>
      <c r="C18" s="1"/>
    </row>
    <row r="19" spans="1:3" ht="15" customHeight="1">
      <c r="A19" s="1"/>
      <c r="B19" s="1"/>
      <c r="C19" s="1"/>
    </row>
    <row r="20" spans="1:3" ht="15" customHeight="1">
      <c r="A20" s="1" t="s">
        <v>10</v>
      </c>
      <c r="B20" s="1" t="s">
        <v>16</v>
      </c>
      <c r="C20" s="1"/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A4AC-A392-4788-A422-5148002B1093}">
  <dimension ref="A1:I1004"/>
  <sheetViews>
    <sheetView workbookViewId="0">
      <selection activeCell="C13" sqref="C13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6" width="9.140625" customWidth="1"/>
    <col min="7" max="19" width="10.7109375" customWidth="1"/>
  </cols>
  <sheetData>
    <row r="1" spans="1:9">
      <c r="A1" s="7" t="s">
        <v>3</v>
      </c>
      <c r="B1" s="7" t="s">
        <v>27</v>
      </c>
      <c r="C1" s="14" t="s">
        <v>188</v>
      </c>
      <c r="D1" s="14" t="s">
        <v>189</v>
      </c>
      <c r="E1" s="14" t="s">
        <v>190</v>
      </c>
      <c r="F1" s="7" t="s">
        <v>4</v>
      </c>
      <c r="I1" s="2"/>
    </row>
    <row r="2" spans="1:9">
      <c r="A2" s="8">
        <v>2020</v>
      </c>
      <c r="B2" s="11" t="s">
        <v>28</v>
      </c>
      <c r="C2">
        <v>6</v>
      </c>
      <c r="D2">
        <v>45</v>
      </c>
      <c r="F2" s="9">
        <f t="shared" ref="F2:F13" si="0">SUM(C2:E2)</f>
        <v>51</v>
      </c>
    </row>
    <row r="3" spans="1:9">
      <c r="A3" s="8">
        <v>2020</v>
      </c>
      <c r="B3" s="11" t="s">
        <v>29</v>
      </c>
      <c r="C3">
        <v>12</v>
      </c>
      <c r="D3">
        <v>25</v>
      </c>
      <c r="F3" s="9">
        <f t="shared" si="0"/>
        <v>37</v>
      </c>
    </row>
    <row r="4" spans="1:9">
      <c r="A4" s="8">
        <v>2021</v>
      </c>
      <c r="B4" s="11" t="s">
        <v>28</v>
      </c>
      <c r="C4">
        <v>8</v>
      </c>
      <c r="D4">
        <v>34</v>
      </c>
      <c r="F4" s="9">
        <f t="shared" si="0"/>
        <v>42</v>
      </c>
    </row>
    <row r="5" spans="1:9">
      <c r="A5" s="8">
        <v>2021</v>
      </c>
      <c r="B5" s="11" t="s">
        <v>29</v>
      </c>
      <c r="C5">
        <v>3</v>
      </c>
      <c r="D5">
        <v>77</v>
      </c>
      <c r="F5" s="9">
        <f t="shared" si="0"/>
        <v>80</v>
      </c>
    </row>
    <row r="6" spans="1:9">
      <c r="A6" s="8">
        <v>2022</v>
      </c>
      <c r="B6" s="11" t="s">
        <v>28</v>
      </c>
      <c r="C6">
        <v>1</v>
      </c>
      <c r="D6">
        <v>74</v>
      </c>
      <c r="F6" s="9">
        <f t="shared" si="0"/>
        <v>75</v>
      </c>
    </row>
    <row r="7" spans="1:9">
      <c r="A7" s="8">
        <v>2022</v>
      </c>
      <c r="B7" s="11" t="s">
        <v>29</v>
      </c>
      <c r="C7">
        <v>3</v>
      </c>
      <c r="D7">
        <v>90</v>
      </c>
      <c r="F7" s="9">
        <f t="shared" si="0"/>
        <v>93</v>
      </c>
    </row>
    <row r="8" spans="1:9">
      <c r="A8" s="8">
        <v>2023</v>
      </c>
      <c r="B8" s="11" t="s">
        <v>28</v>
      </c>
      <c r="C8">
        <v>3</v>
      </c>
      <c r="D8">
        <v>77</v>
      </c>
      <c r="F8" s="9">
        <f t="shared" si="0"/>
        <v>80</v>
      </c>
    </row>
    <row r="9" spans="1:9">
      <c r="A9" s="8">
        <v>2023</v>
      </c>
      <c r="B9" s="11" t="s">
        <v>29</v>
      </c>
      <c r="C9">
        <v>10</v>
      </c>
      <c r="D9">
        <v>98</v>
      </c>
      <c r="E9">
        <v>1</v>
      </c>
      <c r="F9" s="9">
        <f t="shared" si="0"/>
        <v>109</v>
      </c>
    </row>
    <row r="10" spans="1:9">
      <c r="A10" s="8">
        <v>2024</v>
      </c>
      <c r="B10" s="11" t="s">
        <v>28</v>
      </c>
      <c r="C10">
        <v>7</v>
      </c>
      <c r="D10">
        <v>101</v>
      </c>
      <c r="E10">
        <v>0</v>
      </c>
      <c r="F10" s="9">
        <f t="shared" si="0"/>
        <v>108</v>
      </c>
    </row>
    <row r="11" spans="1:9">
      <c r="A11" s="8">
        <v>2024</v>
      </c>
      <c r="B11" s="11" t="s">
        <v>29</v>
      </c>
      <c r="C11">
        <v>8</v>
      </c>
      <c r="D11">
        <v>90</v>
      </c>
      <c r="F11" s="9">
        <f t="shared" si="0"/>
        <v>98</v>
      </c>
    </row>
    <row r="12" spans="1:9">
      <c r="A12" s="8">
        <v>2025</v>
      </c>
      <c r="B12" s="11" t="s">
        <v>28</v>
      </c>
      <c r="C12">
        <v>7</v>
      </c>
      <c r="D12">
        <v>92</v>
      </c>
      <c r="F12" s="9">
        <f t="shared" si="0"/>
        <v>99</v>
      </c>
    </row>
    <row r="13" spans="1:9">
      <c r="A13" s="10" t="s">
        <v>20</v>
      </c>
      <c r="B13" s="10"/>
      <c r="C13" s="9">
        <f>SUM(C2:C12)</f>
        <v>68</v>
      </c>
      <c r="D13" s="9">
        <f>SUM(D2:D12)</f>
        <v>803</v>
      </c>
      <c r="E13" s="9">
        <f>SUM(E2:E9)</f>
        <v>1</v>
      </c>
      <c r="F13" s="9">
        <f t="shared" si="0"/>
        <v>872</v>
      </c>
    </row>
    <row r="15" spans="1:9">
      <c r="A15" s="1" t="s">
        <v>0</v>
      </c>
      <c r="B15" s="1" t="s">
        <v>191</v>
      </c>
      <c r="C15" s="1"/>
      <c r="D15" s="1"/>
    </row>
    <row r="16" spans="1:9">
      <c r="A16" s="5" t="s">
        <v>14</v>
      </c>
      <c r="B16" s="1" t="s">
        <v>221</v>
      </c>
      <c r="C16" s="5"/>
      <c r="D16" s="5"/>
    </row>
    <row r="17" spans="1:4">
      <c r="A17" s="1" t="s">
        <v>5</v>
      </c>
      <c r="B17" s="1" t="s">
        <v>192</v>
      </c>
      <c r="C17" s="1"/>
      <c r="D17" s="1"/>
    </row>
    <row r="18" spans="1:4">
      <c r="A18" s="1" t="s">
        <v>7</v>
      </c>
      <c r="B18" s="1" t="s">
        <v>23</v>
      </c>
      <c r="C18" s="1"/>
      <c r="D18" s="1"/>
    </row>
    <row r="19" spans="1:4" ht="15" customHeight="1">
      <c r="A19" s="1"/>
      <c r="B19" s="1"/>
      <c r="C19" s="1"/>
      <c r="D19" s="1"/>
    </row>
    <row r="20" spans="1:4" ht="15" customHeight="1">
      <c r="A20" s="1" t="s">
        <v>10</v>
      </c>
      <c r="B20" s="1" t="s">
        <v>16</v>
      </c>
      <c r="C20" s="1"/>
      <c r="D20" s="1"/>
    </row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data0</vt:lpstr>
      <vt:lpstr>data1</vt:lpstr>
      <vt:lpstr>data2</vt:lpstr>
      <vt:lpstr>data3</vt:lpstr>
      <vt:lpstr>data4</vt:lpstr>
      <vt:lpstr>data6</vt:lpstr>
      <vt:lpstr>data8</vt:lpstr>
      <vt:lpstr>data9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Castellanos</dc:creator>
  <cp:lastModifiedBy>RED DE OBSERVATORIOS</cp:lastModifiedBy>
  <dcterms:created xsi:type="dcterms:W3CDTF">2022-08-04T13:33:08Z</dcterms:created>
  <dcterms:modified xsi:type="dcterms:W3CDTF">2025-10-15T15:45:01Z</dcterms:modified>
</cp:coreProperties>
</file>