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D:\CLAUDIA ZAMBRANO\GOBERNACION 2025\DATA LIKE\SALUD\"/>
    </mc:Choice>
  </mc:AlternateContent>
  <xr:revisionPtr revIDLastSave="0" documentId="13_ncr:1_{7534F39B-7D98-41E8-A514-2B0C248710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0" sheetId="1" r:id="rId1"/>
    <sheet name="data1" sheetId="2" r:id="rId2"/>
    <sheet name="data2" sheetId="3" r:id="rId3"/>
    <sheet name="data3" sheetId="4" r:id="rId4"/>
    <sheet name="data4" sheetId="8" r:id="rId5"/>
    <sheet name="data5" sheetId="9" r:id="rId6"/>
  </sheets>
  <definedNames>
    <definedName name="_xlnm._FilterDatabase" localSheetId="2" hidden="1">data2!$A$1:$E$218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iD5YwlVupF5n44pvtdsGyy5tU44Q=="/>
    </ext>
  </extLst>
</workbook>
</file>

<file path=xl/calcChain.xml><?xml version="1.0" encoding="utf-8"?>
<calcChain xmlns="http://schemas.openxmlformats.org/spreadsheetml/2006/main">
  <c r="G20" i="9" l="1"/>
  <c r="H20" i="9" s="1"/>
  <c r="H2" i="9"/>
  <c r="H6" i="9"/>
  <c r="H7" i="9"/>
  <c r="H12" i="9"/>
  <c r="H19" i="9"/>
  <c r="H18" i="9"/>
  <c r="H17" i="9"/>
  <c r="H16" i="9"/>
  <c r="H15" i="9"/>
  <c r="H14" i="9"/>
  <c r="H13" i="9"/>
  <c r="H11" i="9"/>
  <c r="H10" i="9"/>
  <c r="H9" i="9"/>
  <c r="H8" i="9"/>
  <c r="H5" i="9"/>
  <c r="H4" i="9"/>
  <c r="H3" i="9"/>
  <c r="C13" i="2"/>
  <c r="F12" i="2"/>
  <c r="D13" i="2"/>
  <c r="E13" i="2"/>
  <c r="F20" i="9"/>
  <c r="E20" i="9"/>
  <c r="D20" i="9"/>
  <c r="C20" i="9"/>
  <c r="B20" i="9"/>
  <c r="F11" i="2"/>
  <c r="F10" i="2"/>
  <c r="F9" i="2"/>
  <c r="F2" i="2"/>
  <c r="F3" i="2"/>
  <c r="F4" i="2"/>
  <c r="F5" i="2"/>
  <c r="F6" i="2"/>
  <c r="F7" i="2"/>
  <c r="F8" i="2"/>
  <c r="F1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ID#AAAAhX2S140
Andrés Torres    (2022-10-04 03:43:03)
@juan.cely04@uptc.edu.co este mapa tiene 2 categorías, como esperas que se despliegue? cual es el selector principal? supongo que el secundario se muestra en el resumen con todos sus posibles valores, correcto?
_Asignada a Juan Cely04_
------
ID#AAAAi2332Pk
Andrés Torres    (2022-10-26 02:40:08)
@juan.cely04@uptc.edu.co a espera de tu respuesta. complemento un poco: podría también tenerse 2 selectores para mostrar el cruce seleccionado, cual sería la forma deseada en este caso?
------
ID#AAAAi1FMeGc
Juan Cely04    (2022-10-26 20:24:31)
@dontor@gmail.com Es posible que al filtrar cada año se filtre el rango de edad? Seria lo ideal
_Reasignada a Andrés Torres_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ZuAAO7GJWDy4qck0CG7Mr33PS5g=="/>
    </ext>
  </extLst>
</comments>
</file>

<file path=xl/sharedStrings.xml><?xml version="1.0" encoding="utf-8"?>
<sst xmlns="http://schemas.openxmlformats.org/spreadsheetml/2006/main" count="829" uniqueCount="216">
  <si>
    <t>Titulo:</t>
  </si>
  <si>
    <t>Etiquetas:</t>
  </si>
  <si>
    <t>Fuentes:</t>
  </si>
  <si>
    <t>Año</t>
  </si>
  <si>
    <t>Total año</t>
  </si>
  <si>
    <t>Vertical:</t>
  </si>
  <si>
    <t>Número de casos</t>
  </si>
  <si>
    <t>Horizontal:</t>
  </si>
  <si>
    <t>Sexo</t>
  </si>
  <si>
    <t>Casos</t>
  </si>
  <si>
    <t>Tipo:</t>
  </si>
  <si>
    <t>Mapa</t>
  </si>
  <si>
    <t>Título:</t>
  </si>
  <si>
    <t>Categoría:</t>
  </si>
  <si>
    <t>Descripción:</t>
  </si>
  <si>
    <t>Subcategoría:</t>
  </si>
  <si>
    <t>Gráfica de columnas</t>
  </si>
  <si>
    <t>Código</t>
  </si>
  <si>
    <t>Gráfico persona</t>
  </si>
  <si>
    <t>Género</t>
  </si>
  <si>
    <t>Total</t>
  </si>
  <si>
    <t>Mes</t>
  </si>
  <si>
    <t>Gráfico linea</t>
  </si>
  <si>
    <t>Semestre / Año</t>
  </si>
  <si>
    <t>Salud</t>
  </si>
  <si>
    <t>Morbilidad</t>
  </si>
  <si>
    <t>ODS</t>
  </si>
  <si>
    <t>Años</t>
  </si>
  <si>
    <t>Semestre</t>
  </si>
  <si>
    <t>Enero a Junio</t>
  </si>
  <si>
    <t>Julio a Diciembre</t>
  </si>
  <si>
    <t>2020 Enero</t>
  </si>
  <si>
    <t>2020 Febrero</t>
  </si>
  <si>
    <t>2020 marzo</t>
  </si>
  <si>
    <t>2020 Abril</t>
  </si>
  <si>
    <t>2020 Mayo</t>
  </si>
  <si>
    <t>2020 Junio</t>
  </si>
  <si>
    <t>2020 Julio</t>
  </si>
  <si>
    <t>2020 Agosto</t>
  </si>
  <si>
    <t>2020 Septiembre</t>
  </si>
  <si>
    <t>2020 Octubre</t>
  </si>
  <si>
    <t>2020 Noviembre</t>
  </si>
  <si>
    <t>2020 Diciembre</t>
  </si>
  <si>
    <t>2021 Enero</t>
  </si>
  <si>
    <t>2021 Febrero</t>
  </si>
  <si>
    <t>2021 marzo</t>
  </si>
  <si>
    <t>2021 Abril</t>
  </si>
  <si>
    <t>2021 Mayo</t>
  </si>
  <si>
    <t>2021 Junio</t>
  </si>
  <si>
    <t>2021 Julio</t>
  </si>
  <si>
    <t>2021 Agosto</t>
  </si>
  <si>
    <t>2021 Septiembre</t>
  </si>
  <si>
    <t>2021 Octubre</t>
  </si>
  <si>
    <t>2021 Noviembre</t>
  </si>
  <si>
    <t>2021 Diciembre</t>
  </si>
  <si>
    <t>2022 Enero</t>
  </si>
  <si>
    <t>2022 Febrero</t>
  </si>
  <si>
    <t>2022 marzo</t>
  </si>
  <si>
    <t>2022 Abril</t>
  </si>
  <si>
    <t>2022 Mayo</t>
  </si>
  <si>
    <t>2022 Junio</t>
  </si>
  <si>
    <t>2022 Julio</t>
  </si>
  <si>
    <t>2022 Agosto</t>
  </si>
  <si>
    <t>2022 Septiembre</t>
  </si>
  <si>
    <t>2022 Octubre</t>
  </si>
  <si>
    <t>2022 Noviembre</t>
  </si>
  <si>
    <t>2022 Diciembre</t>
  </si>
  <si>
    <t>2023 Enero</t>
  </si>
  <si>
    <t>2023 Febrero</t>
  </si>
  <si>
    <t>2023 marzo</t>
  </si>
  <si>
    <t>2023 Abril</t>
  </si>
  <si>
    <t>2023 Mayo</t>
  </si>
  <si>
    <t>2023 Junio</t>
  </si>
  <si>
    <t>2023 Julio</t>
  </si>
  <si>
    <t>2023 Agosto</t>
  </si>
  <si>
    <t>2023 Septiembre</t>
  </si>
  <si>
    <t>2023 Octubre</t>
  </si>
  <si>
    <t>2023 Noviembre</t>
  </si>
  <si>
    <t>2023 Diciembre</t>
  </si>
  <si>
    <t>Primera Infancia (0 a 5 años)</t>
  </si>
  <si>
    <t>Infancia (6 a 11 años)</t>
  </si>
  <si>
    <t>Adolescencia (12 a 17 años)</t>
  </si>
  <si>
    <t>Número de casos de Cancer Infantil por ciclo de vida de población Boyacense</t>
  </si>
  <si>
    <t>15001</t>
  </si>
  <si>
    <t>15051</t>
  </si>
  <si>
    <t>15087</t>
  </si>
  <si>
    <t>15176</t>
  </si>
  <si>
    <t>15185</t>
  </si>
  <si>
    <t>15204</t>
  </si>
  <si>
    <t>15224</t>
  </si>
  <si>
    <t>15232</t>
  </si>
  <si>
    <t>15236</t>
  </si>
  <si>
    <t>15238</t>
  </si>
  <si>
    <t>15276</t>
  </si>
  <si>
    <t>15293</t>
  </si>
  <si>
    <t>15299</t>
  </si>
  <si>
    <t>15322</t>
  </si>
  <si>
    <t>15325</t>
  </si>
  <si>
    <t>15332</t>
  </si>
  <si>
    <t>15362</t>
  </si>
  <si>
    <t>15368</t>
  </si>
  <si>
    <t>15380</t>
  </si>
  <si>
    <t>15469</t>
  </si>
  <si>
    <t>15491</t>
  </si>
  <si>
    <t>15507</t>
  </si>
  <si>
    <t>15514</t>
  </si>
  <si>
    <t>15516</t>
  </si>
  <si>
    <t>15531</t>
  </si>
  <si>
    <t>15572</t>
  </si>
  <si>
    <t>15580</t>
  </si>
  <si>
    <t>15600</t>
  </si>
  <si>
    <t>15632</t>
  </si>
  <si>
    <t>15638</t>
  </si>
  <si>
    <t>15646</t>
  </si>
  <si>
    <t>15686</t>
  </si>
  <si>
    <t>15690</t>
  </si>
  <si>
    <t>15693</t>
  </si>
  <si>
    <t>15696</t>
  </si>
  <si>
    <t>15720</t>
  </si>
  <si>
    <t>15740</t>
  </si>
  <si>
    <t>15757</t>
  </si>
  <si>
    <t>15759</t>
  </si>
  <si>
    <t>15763</t>
  </si>
  <si>
    <t>15804</t>
  </si>
  <si>
    <t>15822</t>
  </si>
  <si>
    <t>15861</t>
  </si>
  <si>
    <t>15879</t>
  </si>
  <si>
    <t>Número de casos de Cancer en Infantil en cada municipio</t>
  </si>
  <si>
    <t>Masculino</t>
  </si>
  <si>
    <t>Femenino</t>
  </si>
  <si>
    <t>Número total de casos de Cáncer Infantil distribuídos por Sexo</t>
  </si>
  <si>
    <t>Se presenta el número de casos por año y mes de Cáncer Infantil</t>
  </si>
  <si>
    <t>Secretaria de Salud Departamental</t>
  </si>
  <si>
    <t>15104</t>
  </si>
  <si>
    <t>15183</t>
  </si>
  <si>
    <t>15189</t>
  </si>
  <si>
    <t>15218</t>
  </si>
  <si>
    <t>15223</t>
  </si>
  <si>
    <t>15244</t>
  </si>
  <si>
    <t>15272</t>
  </si>
  <si>
    <t>15403</t>
  </si>
  <si>
    <t>15407</t>
  </si>
  <si>
    <t>15425</t>
  </si>
  <si>
    <t>15455</t>
  </si>
  <si>
    <t>15466</t>
  </si>
  <si>
    <t>15511</t>
  </si>
  <si>
    <t>15664</t>
  </si>
  <si>
    <t>15673</t>
  </si>
  <si>
    <t>15681</t>
  </si>
  <si>
    <t>15764</t>
  </si>
  <si>
    <t>15776</t>
  </si>
  <si>
    <t>15790</t>
  </si>
  <si>
    <t>15814</t>
  </si>
  <si>
    <t>15816</t>
  </si>
  <si>
    <t>15837</t>
  </si>
  <si>
    <t>15839</t>
  </si>
  <si>
    <t>15842</t>
  </si>
  <si>
    <t>Ciclo de vida</t>
  </si>
  <si>
    <t>Número de casos de Cáncer Infantil por genero, ciclo de vida y municipio</t>
  </si>
  <si>
    <t>Comportamiento de casos por año y mes de Cáncer Infantil en población Boyacense</t>
  </si>
  <si>
    <t>2024 Enero</t>
  </si>
  <si>
    <t>2024 Febrero</t>
  </si>
  <si>
    <t>2024 marzo</t>
  </si>
  <si>
    <t>2024 Abril</t>
  </si>
  <si>
    <t>2024 Mayo</t>
  </si>
  <si>
    <t>2024 Junio</t>
  </si>
  <si>
    <t>2024 Julio</t>
  </si>
  <si>
    <t>2024 Agosto</t>
  </si>
  <si>
    <t>2024 Septiembre</t>
  </si>
  <si>
    <t>2024 Octubre</t>
  </si>
  <si>
    <t>2024 Noviembre</t>
  </si>
  <si>
    <t>2024 Diciembre</t>
  </si>
  <si>
    <t>Edad</t>
  </si>
  <si>
    <t>Número de casos de Cancer Infantil por edad y año de población Boyacense</t>
  </si>
  <si>
    <t>2020</t>
  </si>
  <si>
    <t>2021</t>
  </si>
  <si>
    <t>2022</t>
  </si>
  <si>
    <t>2023</t>
  </si>
  <si>
    <t>2024</t>
  </si>
  <si>
    <t>0 años</t>
  </si>
  <si>
    <t>1 año</t>
  </si>
  <si>
    <t>2 años</t>
  </si>
  <si>
    <t>3 años</t>
  </si>
  <si>
    <t>4 años</t>
  </si>
  <si>
    <t>5 años</t>
  </si>
  <si>
    <t>6 años</t>
  </si>
  <si>
    <t>7 años</t>
  </si>
  <si>
    <t>8 años</t>
  </si>
  <si>
    <t>9 años</t>
  </si>
  <si>
    <t>10 años</t>
  </si>
  <si>
    <t>11 años</t>
  </si>
  <si>
    <t>12 años</t>
  </si>
  <si>
    <t>13 años</t>
  </si>
  <si>
    <t>14 años</t>
  </si>
  <si>
    <t>15 años</t>
  </si>
  <si>
    <t>16 años</t>
  </si>
  <si>
    <t>17 años</t>
  </si>
  <si>
    <t>Se presentan los casos presentados de cancer infantil en población Boyacense de enero del año 2020 a junio 2025</t>
  </si>
  <si>
    <t>Número de casos de cancer infantil en población Boyacense de enero 2020 a junio 2025</t>
  </si>
  <si>
    <t>La gráfica muestra el número de casos de cancer infantil por ciclo de vida desde enero del año 2020 hasta junio 2025</t>
  </si>
  <si>
    <t>15047</t>
  </si>
  <si>
    <t>15131</t>
  </si>
  <si>
    <t>15774</t>
  </si>
  <si>
    <t>15542</t>
  </si>
  <si>
    <t>15599</t>
  </si>
  <si>
    <t>MASCULINO</t>
  </si>
  <si>
    <t>FEMENINO</t>
  </si>
  <si>
    <t xml:space="preserve">2025 Enero </t>
  </si>
  <si>
    <t>2025 Febrero</t>
  </si>
  <si>
    <t>2025 Marzo</t>
  </si>
  <si>
    <t>2025 Abril</t>
  </si>
  <si>
    <t>2025 Mayo</t>
  </si>
  <si>
    <t>2025 Junio</t>
  </si>
  <si>
    <t>2025</t>
  </si>
  <si>
    <t>La gráfica muestra el número de casos de cancer infantil por edad desde enero del año 2020 hasta junio 2025</t>
  </si>
  <si>
    <t>Se presenta la sumatoria total de casos de Cáncer Infantil distribuidos por genero durante el período enero 2020 a 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</si>
</sst>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b/>
      <sz val="10"/>
      <color rgb="FF000000"/>
      <name val="Helvetica Neue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4" fillId="0" borderId="1" xfId="0" applyFont="1" applyBorder="1"/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8" fillId="0" borderId="0" xfId="0" applyFont="1"/>
    <xf numFmtId="0" fontId="3" fillId="0" borderId="2" xfId="0" applyFont="1" applyBorder="1"/>
    <xf numFmtId="0" fontId="7" fillId="0" borderId="2" xfId="0" applyFont="1" applyBorder="1" applyAlignment="1">
      <alignment horizontal="right"/>
    </xf>
    <xf numFmtId="0" fontId="0" fillId="0" borderId="2" xfId="0" applyBorder="1"/>
    <xf numFmtId="0" fontId="3" fillId="0" borderId="2" xfId="0" applyFont="1" applyBorder="1" applyAlignment="1">
      <alignment horizontal="right"/>
    </xf>
    <xf numFmtId="0" fontId="7" fillId="0" borderId="2" xfId="0" applyFont="1" applyBorder="1" applyAlignment="1">
      <alignment horizontal="left"/>
    </xf>
    <xf numFmtId="0" fontId="8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/>
    <xf numFmtId="0" fontId="0" fillId="0" borderId="7" xfId="0" applyBorder="1"/>
    <xf numFmtId="0" fontId="0" fillId="0" borderId="8" xfId="0" applyBorder="1"/>
    <xf numFmtId="0" fontId="4" fillId="0" borderId="0" xfId="0" applyFont="1"/>
    <xf numFmtId="0" fontId="9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8" fillId="0" borderId="0" xfId="0" applyNumberFormat="1" applyFont="1" applyAlignment="1">
      <alignment horizontal="center"/>
    </xf>
    <xf numFmtId="49" fontId="9" fillId="0" borderId="2" xfId="0" applyNumberFormat="1" applyFont="1" applyBorder="1" applyAlignment="1">
      <alignment horizontal="center"/>
    </xf>
    <xf numFmtId="49" fontId="8" fillId="0" borderId="4" xfId="0" applyNumberFormat="1" applyFont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0" fillId="0" borderId="0" xfId="0" applyAlignment="1">
      <alignment horizontal="right"/>
    </xf>
    <xf numFmtId="49" fontId="8" fillId="0" borderId="0" xfId="0" applyNumberFormat="1" applyFont="1" applyBorder="1" applyAlignment="1">
      <alignment horizontal="center"/>
    </xf>
    <xf numFmtId="0" fontId="8" fillId="2" borderId="0" xfId="0" applyFont="1" applyFill="1" applyBorder="1"/>
    <xf numFmtId="0" fontId="0" fillId="0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NÚMERO DE CASOS DE CANCER INFANTIL POR CICLO DE VIDA</a:t>
            </a:r>
            <a:endParaRPr lang="es-CO" b="1" baseline="0"/>
          </a:p>
          <a:p>
            <a:pPr>
              <a:defRPr/>
            </a:pPr>
            <a:r>
              <a:rPr lang="es-CO" sz="1000" b="1" baseline="0"/>
              <a:t>ENERO 2020 A JUNIO 2025</a:t>
            </a:r>
          </a:p>
        </c:rich>
      </c:tx>
      <c:layout>
        <c:manualLayout>
          <c:xMode val="edge"/>
          <c:yMode val="edge"/>
          <c:x val="0.27352149252004515"/>
          <c:y val="3.37552692772710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7761277298181001E-2"/>
          <c:y val="0.16329853381390511"/>
          <c:w val="0.88243228701382603"/>
          <c:h val="0.51771191841561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data1!$C$1</c:f>
              <c:strCache>
                <c:ptCount val="1"/>
                <c:pt idx="0">
                  <c:v>Primera Infancia (0 a 5 años)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3.3010344808334754E-17"/>
                  <c:y val="3.1793338294262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E5-4857-BB87-C36C0ADC167A}"/>
                </c:ext>
              </c:extLst>
            </c:dLbl>
            <c:dLbl>
              <c:idx val="2"/>
              <c:layout>
                <c:manualLayout>
                  <c:x val="0"/>
                  <c:y val="2.78191710074795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E5-4857-BB87-C36C0ADC167A}"/>
                </c:ext>
              </c:extLst>
            </c:dLbl>
            <c:dLbl>
              <c:idx val="3"/>
              <c:layout>
                <c:manualLayout>
                  <c:x val="0"/>
                  <c:y val="1.9870836433913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E5-4857-BB87-C36C0ADC167A}"/>
                </c:ext>
              </c:extLst>
            </c:dLbl>
            <c:dLbl>
              <c:idx val="4"/>
              <c:layout>
                <c:manualLayout>
                  <c:x val="-5.4017551876344326E-3"/>
                  <c:y val="2.38450037206967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E5-4857-BB87-C36C0ADC16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data1!$C$2:$C$12</c:f>
              <c:numCache>
                <c:formatCode>General</c:formatCode>
                <c:ptCount val="11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8</c:v>
                </c:pt>
                <c:pt idx="5">
                  <c:v>5</c:v>
                </c:pt>
                <c:pt idx="6">
                  <c:v>12</c:v>
                </c:pt>
                <c:pt idx="7">
                  <c:v>4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E-41A6-AB4D-FE68D083C1A7}"/>
            </c:ext>
          </c:extLst>
        </c:ser>
        <c:ser>
          <c:idx val="1"/>
          <c:order val="1"/>
          <c:tx>
            <c:strRef>
              <c:f>data1!$D$1</c:f>
              <c:strCache>
                <c:ptCount val="1"/>
                <c:pt idx="0">
                  <c:v>Infancia (6 a 11 años)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data1!$D$2:$D$12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6</c:v>
                </c:pt>
                <c:pt idx="9">
                  <c:v>14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9E-41A6-AB4D-FE68D083C1A7}"/>
            </c:ext>
          </c:extLst>
        </c:ser>
        <c:ser>
          <c:idx val="2"/>
          <c:order val="2"/>
          <c:tx>
            <c:strRef>
              <c:f>data1!$E$1</c:f>
              <c:strCache>
                <c:ptCount val="1"/>
                <c:pt idx="0">
                  <c:v>Adolescencia (12 a 17 años)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data1!$E$2:$E$12</c:f>
              <c:numCache>
                <c:formatCode>General</c:formatCode>
                <c:ptCount val="11"/>
                <c:pt idx="0">
                  <c:v>13</c:v>
                </c:pt>
                <c:pt idx="1">
                  <c:v>9</c:v>
                </c:pt>
                <c:pt idx="2">
                  <c:v>4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14</c:v>
                </c:pt>
                <c:pt idx="7">
                  <c:v>23</c:v>
                </c:pt>
                <c:pt idx="8">
                  <c:v>22</c:v>
                </c:pt>
                <c:pt idx="9">
                  <c:v>11</c:v>
                </c:pt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9E-41A6-AB4D-FE68D083C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0"/>
                  <a:t>Semestre / Año</a:t>
                </a:r>
              </a:p>
            </c:rich>
          </c:tx>
          <c:layout>
            <c:manualLayout>
              <c:xMode val="edge"/>
              <c:yMode val="edge"/>
              <c:x val="0.48651814662334814"/>
              <c:y val="0.83927855273470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2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Ciclo de vida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121577445740585"/>
          <c:y val="0.91420491427106632"/>
          <c:w val="0.64047152173227617"/>
          <c:h val="6.3291572877419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NÚMERO</a:t>
            </a:r>
            <a:r>
              <a:rPr lang="en-US" sz="1400" b="1" baseline="0"/>
              <a:t> TOTAL DE CASOS DE CÁNCER INFANTIL DISTRIBUIDOS POR SEXO</a:t>
            </a:r>
          </a:p>
          <a:p>
            <a:pPr>
              <a:defRPr/>
            </a:pPr>
            <a:r>
              <a:rPr lang="en-US" sz="1400" b="1" baseline="0"/>
              <a:t>ENERO 2020 A JUNIO 2025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data3!$B$1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4FD-4EC8-A7DC-40FA36C175B0}"/>
              </c:ext>
            </c:extLst>
          </c:dPt>
          <c:dPt>
            <c:idx val="1"/>
            <c:invertIfNegative val="0"/>
            <c:bubble3D val="0"/>
            <c:spPr>
              <a:solidFill>
                <a:srgbClr val="FF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FD-4EC8-A7DC-40FA36C175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data3!$A$2:$A$3</c:f>
              <c:strCache>
                <c:ptCount val="2"/>
                <c:pt idx="0">
                  <c:v>Masculino</c:v>
                </c:pt>
                <c:pt idx="1">
                  <c:v>Femenino</c:v>
                </c:pt>
              </c:strCache>
            </c:strRef>
          </c:cat>
          <c:val>
            <c:numRef>
              <c:f>data3!$B$2:$B$3</c:f>
              <c:numCache>
                <c:formatCode>General</c:formatCode>
                <c:ptCount val="2"/>
                <c:pt idx="0">
                  <c:v>181</c:v>
                </c:pt>
                <c:pt idx="1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D-4EC8-A7DC-40FA36C17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Sexo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 baseline="0"/>
              <a:t>COMPORTAMIENTO DE CASOS DE CÁNCER INFANTIL DESDE ENERO 2020 A JUNIO 2025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data4!$A$1:$BN$1</c:f>
              <c:strCache>
                <c:ptCount val="66"/>
                <c:pt idx="0">
                  <c:v>2020 Enero</c:v>
                </c:pt>
                <c:pt idx="1">
                  <c:v>2020 Febrero</c:v>
                </c:pt>
                <c:pt idx="2">
                  <c:v>2020 marzo</c:v>
                </c:pt>
                <c:pt idx="3">
                  <c:v>2020 Abril</c:v>
                </c:pt>
                <c:pt idx="4">
                  <c:v>2020 Mayo</c:v>
                </c:pt>
                <c:pt idx="5">
                  <c:v>2020 Junio</c:v>
                </c:pt>
                <c:pt idx="6">
                  <c:v>2020 Julio</c:v>
                </c:pt>
                <c:pt idx="7">
                  <c:v>2020 Agosto</c:v>
                </c:pt>
                <c:pt idx="8">
                  <c:v>2020 Septiembre</c:v>
                </c:pt>
                <c:pt idx="9">
                  <c:v>2020 Octubre</c:v>
                </c:pt>
                <c:pt idx="10">
                  <c:v>2020 Noviembre</c:v>
                </c:pt>
                <c:pt idx="11">
                  <c:v>2020 Diciembre</c:v>
                </c:pt>
                <c:pt idx="12">
                  <c:v>2021 Enero</c:v>
                </c:pt>
                <c:pt idx="13">
                  <c:v>2021 Febrero</c:v>
                </c:pt>
                <c:pt idx="14">
                  <c:v>2021 marzo</c:v>
                </c:pt>
                <c:pt idx="15">
                  <c:v>2021 Abril</c:v>
                </c:pt>
                <c:pt idx="16">
                  <c:v>2021 Mayo</c:v>
                </c:pt>
                <c:pt idx="17">
                  <c:v>2021 Junio</c:v>
                </c:pt>
                <c:pt idx="18">
                  <c:v>2021 Julio</c:v>
                </c:pt>
                <c:pt idx="19">
                  <c:v>2021 Agosto</c:v>
                </c:pt>
                <c:pt idx="20">
                  <c:v>2021 Septiembre</c:v>
                </c:pt>
                <c:pt idx="21">
                  <c:v>2021 Octubre</c:v>
                </c:pt>
                <c:pt idx="22">
                  <c:v>2021 Noviembre</c:v>
                </c:pt>
                <c:pt idx="23">
                  <c:v>2021 Diciembre</c:v>
                </c:pt>
                <c:pt idx="24">
                  <c:v>2022 Enero</c:v>
                </c:pt>
                <c:pt idx="25">
                  <c:v>2022 Febrero</c:v>
                </c:pt>
                <c:pt idx="26">
                  <c:v>2022 marzo</c:v>
                </c:pt>
                <c:pt idx="27">
                  <c:v>2022 Abril</c:v>
                </c:pt>
                <c:pt idx="28">
                  <c:v>2022 Mayo</c:v>
                </c:pt>
                <c:pt idx="29">
                  <c:v>2022 Junio</c:v>
                </c:pt>
                <c:pt idx="30">
                  <c:v>2022 Julio</c:v>
                </c:pt>
                <c:pt idx="31">
                  <c:v>2022 Agosto</c:v>
                </c:pt>
                <c:pt idx="32">
                  <c:v>2022 Septiembre</c:v>
                </c:pt>
                <c:pt idx="33">
                  <c:v>2022 Octubre</c:v>
                </c:pt>
                <c:pt idx="34">
                  <c:v>2022 Noviembre</c:v>
                </c:pt>
                <c:pt idx="35">
                  <c:v>2022 Diciembre</c:v>
                </c:pt>
                <c:pt idx="36">
                  <c:v>2023 Enero</c:v>
                </c:pt>
                <c:pt idx="37">
                  <c:v>2023 Febrero</c:v>
                </c:pt>
                <c:pt idx="38">
                  <c:v>2023 marzo</c:v>
                </c:pt>
                <c:pt idx="39">
                  <c:v>2023 Abril</c:v>
                </c:pt>
                <c:pt idx="40">
                  <c:v>2023 Mayo</c:v>
                </c:pt>
                <c:pt idx="41">
                  <c:v>2023 Junio</c:v>
                </c:pt>
                <c:pt idx="42">
                  <c:v>2023 Julio</c:v>
                </c:pt>
                <c:pt idx="43">
                  <c:v>2023 Agosto</c:v>
                </c:pt>
                <c:pt idx="44">
                  <c:v>2023 Septiembre</c:v>
                </c:pt>
                <c:pt idx="45">
                  <c:v>2023 Octubre</c:v>
                </c:pt>
                <c:pt idx="46">
                  <c:v>2023 Noviembre</c:v>
                </c:pt>
                <c:pt idx="47">
                  <c:v>2023 Diciembre</c:v>
                </c:pt>
                <c:pt idx="48">
                  <c:v>2024 Enero</c:v>
                </c:pt>
                <c:pt idx="49">
                  <c:v>2024 Febrero</c:v>
                </c:pt>
                <c:pt idx="50">
                  <c:v>2024 marzo</c:v>
                </c:pt>
                <c:pt idx="51">
                  <c:v>2024 Abril</c:v>
                </c:pt>
                <c:pt idx="52">
                  <c:v>2024 Mayo</c:v>
                </c:pt>
                <c:pt idx="53">
                  <c:v>2024 Junio</c:v>
                </c:pt>
                <c:pt idx="54">
                  <c:v>2024 Julio</c:v>
                </c:pt>
                <c:pt idx="55">
                  <c:v>2024 Agosto</c:v>
                </c:pt>
                <c:pt idx="56">
                  <c:v>2024 Septiembre</c:v>
                </c:pt>
                <c:pt idx="57">
                  <c:v>2024 Octubre</c:v>
                </c:pt>
                <c:pt idx="58">
                  <c:v>2024 Noviembre</c:v>
                </c:pt>
                <c:pt idx="59">
                  <c:v>2024 Diciembre</c:v>
                </c:pt>
                <c:pt idx="60">
                  <c:v>2025 Enero </c:v>
                </c:pt>
                <c:pt idx="61">
                  <c:v>2025 Febrero</c:v>
                </c:pt>
                <c:pt idx="62">
                  <c:v>2025 Marzo</c:v>
                </c:pt>
                <c:pt idx="63">
                  <c:v>2025 Abril</c:v>
                </c:pt>
                <c:pt idx="64">
                  <c:v>2025 Mayo</c:v>
                </c:pt>
                <c:pt idx="65">
                  <c:v>2025 Junio</c:v>
                </c:pt>
              </c:strCache>
            </c:strRef>
          </c:cat>
          <c:val>
            <c:numRef>
              <c:f>data4!$A$2:$BN$2</c:f>
              <c:numCache>
                <c:formatCode>General</c:formatCode>
                <c:ptCount val="66"/>
                <c:pt idx="0">
                  <c:v>5</c:v>
                </c:pt>
                <c:pt idx="1">
                  <c:v>4</c:v>
                </c:pt>
                <c:pt idx="2">
                  <c:v>0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6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0</c:v>
                </c:pt>
                <c:pt idx="18">
                  <c:v>5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5</c:v>
                </c:pt>
                <c:pt idx="24">
                  <c:v>6</c:v>
                </c:pt>
                <c:pt idx="25">
                  <c:v>5</c:v>
                </c:pt>
                <c:pt idx="26">
                  <c:v>6</c:v>
                </c:pt>
                <c:pt idx="27">
                  <c:v>2</c:v>
                </c:pt>
                <c:pt idx="28">
                  <c:v>3</c:v>
                </c:pt>
                <c:pt idx="29">
                  <c:v>1</c:v>
                </c:pt>
                <c:pt idx="30">
                  <c:v>6</c:v>
                </c:pt>
                <c:pt idx="31">
                  <c:v>3</c:v>
                </c:pt>
                <c:pt idx="32">
                  <c:v>6</c:v>
                </c:pt>
                <c:pt idx="33">
                  <c:v>5</c:v>
                </c:pt>
                <c:pt idx="34">
                  <c:v>3</c:v>
                </c:pt>
                <c:pt idx="35">
                  <c:v>2</c:v>
                </c:pt>
                <c:pt idx="36">
                  <c:v>5</c:v>
                </c:pt>
                <c:pt idx="37">
                  <c:v>7</c:v>
                </c:pt>
                <c:pt idx="38">
                  <c:v>5</c:v>
                </c:pt>
                <c:pt idx="39">
                  <c:v>8</c:v>
                </c:pt>
                <c:pt idx="40">
                  <c:v>4</c:v>
                </c:pt>
                <c:pt idx="41">
                  <c:v>8</c:v>
                </c:pt>
                <c:pt idx="42">
                  <c:v>7</c:v>
                </c:pt>
                <c:pt idx="43">
                  <c:v>5</c:v>
                </c:pt>
                <c:pt idx="44">
                  <c:v>8</c:v>
                </c:pt>
                <c:pt idx="45">
                  <c:v>7</c:v>
                </c:pt>
                <c:pt idx="46">
                  <c:v>6</c:v>
                </c:pt>
                <c:pt idx="47">
                  <c:v>5</c:v>
                </c:pt>
                <c:pt idx="48">
                  <c:v>6</c:v>
                </c:pt>
                <c:pt idx="49">
                  <c:v>7</c:v>
                </c:pt>
                <c:pt idx="50">
                  <c:v>2</c:v>
                </c:pt>
                <c:pt idx="51">
                  <c:v>7</c:v>
                </c:pt>
                <c:pt idx="52">
                  <c:v>5</c:v>
                </c:pt>
                <c:pt idx="53">
                  <c:v>8</c:v>
                </c:pt>
                <c:pt idx="54">
                  <c:v>5</c:v>
                </c:pt>
                <c:pt idx="55">
                  <c:v>7</c:v>
                </c:pt>
                <c:pt idx="56">
                  <c:v>4</c:v>
                </c:pt>
                <c:pt idx="57">
                  <c:v>5</c:v>
                </c:pt>
                <c:pt idx="58">
                  <c:v>6</c:v>
                </c:pt>
                <c:pt idx="59">
                  <c:v>5</c:v>
                </c:pt>
                <c:pt idx="60">
                  <c:v>6</c:v>
                </c:pt>
                <c:pt idx="61">
                  <c:v>7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8-4816-BEA5-A7A04118F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64528"/>
        <c:axId val="50531488"/>
      </c:lineChart>
      <c:catAx>
        <c:axId val="5446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Año / 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531488"/>
        <c:crosses val="autoZero"/>
        <c:auto val="1"/>
        <c:lblAlgn val="ctr"/>
        <c:lblOffset val="100"/>
        <c:noMultiLvlLbl val="0"/>
      </c:catAx>
      <c:valAx>
        <c:axId val="50531488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6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NÚMERO DE CASOS DE CÁNCER INFANTIL POR AÑO</a:t>
            </a:r>
            <a:r>
              <a:rPr lang="es-CO" baseline="0"/>
              <a:t> Y EDAD ENERO 2020 A JUNIO 2025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data5!$A$2</c:f>
              <c:strCache>
                <c:ptCount val="1"/>
                <c:pt idx="0">
                  <c:v>0 años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data5!$H$1</c:f>
              <c:strCache>
                <c:ptCount val="1"/>
                <c:pt idx="0">
                  <c:v>Total año</c:v>
                </c:pt>
              </c:strCache>
            </c:strRef>
          </c:cat>
          <c:val>
            <c:numRef>
              <c:f>data5!$H$2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B-485E-89D5-44D34FCEFAF4}"/>
            </c:ext>
          </c:extLst>
        </c:ser>
        <c:ser>
          <c:idx val="1"/>
          <c:order val="1"/>
          <c:tx>
            <c:strRef>
              <c:f>data5!$A$3</c:f>
              <c:strCache>
                <c:ptCount val="1"/>
                <c:pt idx="0">
                  <c:v>1 año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data5!$H$1</c:f>
              <c:strCache>
                <c:ptCount val="1"/>
                <c:pt idx="0">
                  <c:v>Total año</c:v>
                </c:pt>
              </c:strCache>
            </c:strRef>
          </c:cat>
          <c:val>
            <c:numRef>
              <c:f>data5!$H$3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759-498B-B3BD-DE85AC4CB638}"/>
            </c:ext>
          </c:extLst>
        </c:ser>
        <c:ser>
          <c:idx val="2"/>
          <c:order val="2"/>
          <c:tx>
            <c:strRef>
              <c:f>data5!$A$4</c:f>
              <c:strCache>
                <c:ptCount val="1"/>
                <c:pt idx="0">
                  <c:v>2 años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data5!$H$1</c:f>
              <c:strCache>
                <c:ptCount val="1"/>
                <c:pt idx="0">
                  <c:v>Total año</c:v>
                </c:pt>
              </c:strCache>
            </c:strRef>
          </c:cat>
          <c:val>
            <c:numRef>
              <c:f>data5!$H$4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759-498B-B3BD-DE85AC4CB638}"/>
            </c:ext>
          </c:extLst>
        </c:ser>
        <c:ser>
          <c:idx val="3"/>
          <c:order val="3"/>
          <c:tx>
            <c:strRef>
              <c:f>data5!$A$5</c:f>
              <c:strCache>
                <c:ptCount val="1"/>
                <c:pt idx="0">
                  <c:v>3 años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data5!$H$1</c:f>
              <c:strCache>
                <c:ptCount val="1"/>
                <c:pt idx="0">
                  <c:v>Total año</c:v>
                </c:pt>
              </c:strCache>
            </c:strRef>
          </c:cat>
          <c:val>
            <c:numRef>
              <c:f>data5!$H$5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759-498B-B3BD-DE85AC4CB638}"/>
            </c:ext>
          </c:extLst>
        </c:ser>
        <c:ser>
          <c:idx val="4"/>
          <c:order val="4"/>
          <c:tx>
            <c:strRef>
              <c:f>data5!$A$6</c:f>
              <c:strCache>
                <c:ptCount val="1"/>
                <c:pt idx="0">
                  <c:v>4 años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data5!$H$1</c:f>
              <c:strCache>
                <c:ptCount val="1"/>
                <c:pt idx="0">
                  <c:v>Total año</c:v>
                </c:pt>
              </c:strCache>
            </c:strRef>
          </c:cat>
          <c:val>
            <c:numRef>
              <c:f>data5!$H$6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759-498B-B3BD-DE85AC4CB638}"/>
            </c:ext>
          </c:extLst>
        </c:ser>
        <c:ser>
          <c:idx val="5"/>
          <c:order val="5"/>
          <c:tx>
            <c:strRef>
              <c:f>data5!$A$7</c:f>
              <c:strCache>
                <c:ptCount val="1"/>
                <c:pt idx="0">
                  <c:v>5 años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data5!$H$1</c:f>
              <c:strCache>
                <c:ptCount val="1"/>
                <c:pt idx="0">
                  <c:v>Total año</c:v>
                </c:pt>
              </c:strCache>
            </c:strRef>
          </c:cat>
          <c:val>
            <c:numRef>
              <c:f>data5!$H$7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C759-498B-B3BD-DE85AC4CB638}"/>
            </c:ext>
          </c:extLst>
        </c:ser>
        <c:ser>
          <c:idx val="6"/>
          <c:order val="6"/>
          <c:tx>
            <c:strRef>
              <c:f>data5!$A$8</c:f>
              <c:strCache>
                <c:ptCount val="1"/>
                <c:pt idx="0">
                  <c:v>6 años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data5!$H$1</c:f>
              <c:strCache>
                <c:ptCount val="1"/>
                <c:pt idx="0">
                  <c:v>Total año</c:v>
                </c:pt>
              </c:strCache>
            </c:strRef>
          </c:cat>
          <c:val>
            <c:numRef>
              <c:f>data5!$H$8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7-C759-498B-B3BD-DE85AC4CB638}"/>
            </c:ext>
          </c:extLst>
        </c:ser>
        <c:ser>
          <c:idx val="7"/>
          <c:order val="7"/>
          <c:tx>
            <c:strRef>
              <c:f>data5!$A$9</c:f>
              <c:strCache>
                <c:ptCount val="1"/>
                <c:pt idx="0">
                  <c:v>7 años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data5!$H$1</c:f>
              <c:strCache>
                <c:ptCount val="1"/>
                <c:pt idx="0">
                  <c:v>Total año</c:v>
                </c:pt>
              </c:strCache>
            </c:strRef>
          </c:cat>
          <c:val>
            <c:numRef>
              <c:f>data5!$H$9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C759-498B-B3BD-DE85AC4CB638}"/>
            </c:ext>
          </c:extLst>
        </c:ser>
        <c:ser>
          <c:idx val="8"/>
          <c:order val="8"/>
          <c:tx>
            <c:strRef>
              <c:f>data5!$A$10</c:f>
              <c:strCache>
                <c:ptCount val="1"/>
                <c:pt idx="0">
                  <c:v>8 años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data5!$H$1</c:f>
              <c:strCache>
                <c:ptCount val="1"/>
                <c:pt idx="0">
                  <c:v>Total año</c:v>
                </c:pt>
              </c:strCache>
            </c:strRef>
          </c:cat>
          <c:val>
            <c:numRef>
              <c:f>data5!$H$10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9-C759-498B-B3BD-DE85AC4CB638}"/>
            </c:ext>
          </c:extLst>
        </c:ser>
        <c:ser>
          <c:idx val="9"/>
          <c:order val="9"/>
          <c:tx>
            <c:strRef>
              <c:f>data5!$A$11</c:f>
              <c:strCache>
                <c:ptCount val="1"/>
                <c:pt idx="0">
                  <c:v>9 años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data5!$H$1</c:f>
              <c:strCache>
                <c:ptCount val="1"/>
                <c:pt idx="0">
                  <c:v>Total año</c:v>
                </c:pt>
              </c:strCache>
            </c:strRef>
          </c:cat>
          <c:val>
            <c:numRef>
              <c:f>data5!$H$11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C759-498B-B3BD-DE85AC4CB638}"/>
            </c:ext>
          </c:extLst>
        </c:ser>
        <c:ser>
          <c:idx val="10"/>
          <c:order val="10"/>
          <c:tx>
            <c:strRef>
              <c:f>data5!$A$12</c:f>
              <c:strCache>
                <c:ptCount val="1"/>
                <c:pt idx="0">
                  <c:v>10 años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data5!$H$1</c:f>
              <c:strCache>
                <c:ptCount val="1"/>
                <c:pt idx="0">
                  <c:v>Total año</c:v>
                </c:pt>
              </c:strCache>
            </c:strRef>
          </c:cat>
          <c:val>
            <c:numRef>
              <c:f>data5!$H$12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C759-498B-B3BD-DE85AC4CB638}"/>
            </c:ext>
          </c:extLst>
        </c:ser>
        <c:ser>
          <c:idx val="11"/>
          <c:order val="11"/>
          <c:tx>
            <c:strRef>
              <c:f>data5!$A$13</c:f>
              <c:strCache>
                <c:ptCount val="1"/>
                <c:pt idx="0">
                  <c:v>11 años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data5!$H$1</c:f>
              <c:strCache>
                <c:ptCount val="1"/>
                <c:pt idx="0">
                  <c:v>Total año</c:v>
                </c:pt>
              </c:strCache>
            </c:strRef>
          </c:cat>
          <c:val>
            <c:numRef>
              <c:f>data5!$H$13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C759-498B-B3BD-DE85AC4CB638}"/>
            </c:ext>
          </c:extLst>
        </c:ser>
        <c:ser>
          <c:idx val="12"/>
          <c:order val="12"/>
          <c:tx>
            <c:strRef>
              <c:f>data5!$A$14</c:f>
              <c:strCache>
                <c:ptCount val="1"/>
                <c:pt idx="0">
                  <c:v>12 años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data5!$H$1</c:f>
              <c:strCache>
                <c:ptCount val="1"/>
                <c:pt idx="0">
                  <c:v>Total año</c:v>
                </c:pt>
              </c:strCache>
            </c:strRef>
          </c:cat>
          <c:val>
            <c:numRef>
              <c:f>data5!$H$14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C759-498B-B3BD-DE85AC4CB638}"/>
            </c:ext>
          </c:extLst>
        </c:ser>
        <c:ser>
          <c:idx val="13"/>
          <c:order val="13"/>
          <c:tx>
            <c:strRef>
              <c:f>data5!$A$15</c:f>
              <c:strCache>
                <c:ptCount val="1"/>
                <c:pt idx="0">
                  <c:v>13 años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data5!$H$1</c:f>
              <c:strCache>
                <c:ptCount val="1"/>
                <c:pt idx="0">
                  <c:v>Total año</c:v>
                </c:pt>
              </c:strCache>
            </c:strRef>
          </c:cat>
          <c:val>
            <c:numRef>
              <c:f>data5!$H$15</c:f>
              <c:numCache>
                <c:formatCode>General</c:formatCode>
                <c:ptCount val="1"/>
                <c:pt idx="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C759-498B-B3BD-DE85AC4CB638}"/>
            </c:ext>
          </c:extLst>
        </c:ser>
        <c:ser>
          <c:idx val="14"/>
          <c:order val="14"/>
          <c:tx>
            <c:strRef>
              <c:f>data5!$A$16</c:f>
              <c:strCache>
                <c:ptCount val="1"/>
                <c:pt idx="0">
                  <c:v>14 años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data5!$H$1</c:f>
              <c:strCache>
                <c:ptCount val="1"/>
                <c:pt idx="0">
                  <c:v>Total año</c:v>
                </c:pt>
              </c:strCache>
            </c:strRef>
          </c:cat>
          <c:val>
            <c:numRef>
              <c:f>data5!$H$16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F-C759-498B-B3BD-DE85AC4CB638}"/>
            </c:ext>
          </c:extLst>
        </c:ser>
        <c:ser>
          <c:idx val="15"/>
          <c:order val="15"/>
          <c:tx>
            <c:strRef>
              <c:f>data5!$A$17</c:f>
              <c:strCache>
                <c:ptCount val="1"/>
                <c:pt idx="0">
                  <c:v>15 años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data5!$H$1</c:f>
              <c:strCache>
                <c:ptCount val="1"/>
                <c:pt idx="0">
                  <c:v>Total año</c:v>
                </c:pt>
              </c:strCache>
            </c:strRef>
          </c:cat>
          <c:val>
            <c:numRef>
              <c:f>data5!$H$17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C759-498B-B3BD-DE85AC4CB638}"/>
            </c:ext>
          </c:extLst>
        </c:ser>
        <c:ser>
          <c:idx val="16"/>
          <c:order val="16"/>
          <c:tx>
            <c:strRef>
              <c:f>data5!$A$18</c:f>
              <c:strCache>
                <c:ptCount val="1"/>
                <c:pt idx="0">
                  <c:v>16 años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data5!$H$1</c:f>
              <c:strCache>
                <c:ptCount val="1"/>
                <c:pt idx="0">
                  <c:v>Total año</c:v>
                </c:pt>
              </c:strCache>
            </c:strRef>
          </c:cat>
          <c:val>
            <c:numRef>
              <c:f>data5!$H$18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1-C759-498B-B3BD-DE85AC4CB638}"/>
            </c:ext>
          </c:extLst>
        </c:ser>
        <c:ser>
          <c:idx val="17"/>
          <c:order val="17"/>
          <c:tx>
            <c:strRef>
              <c:f>data5!$A$19</c:f>
              <c:strCache>
                <c:ptCount val="1"/>
                <c:pt idx="0">
                  <c:v>17 años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data5!$H$1</c:f>
              <c:strCache>
                <c:ptCount val="1"/>
                <c:pt idx="0">
                  <c:v>Total año</c:v>
                </c:pt>
              </c:strCache>
            </c:strRef>
          </c:cat>
          <c:val>
            <c:numRef>
              <c:f>data5!$H$19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C759-498B-B3BD-DE85AC4CB6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23760016"/>
        <c:axId val="1923757936"/>
      </c:barChart>
      <c:catAx>
        <c:axId val="1923760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3757936"/>
        <c:crosses val="autoZero"/>
        <c:auto val="1"/>
        <c:lblAlgn val="ctr"/>
        <c:lblOffset val="100"/>
        <c:noMultiLvlLbl val="0"/>
      </c:catAx>
      <c:valAx>
        <c:axId val="192375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376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80960</xdr:colOff>
      <xdr:row>20</xdr:row>
      <xdr:rowOff>185737</xdr:rowOff>
    </xdr:from>
    <xdr:to>
      <xdr:col>9</xdr:col>
      <xdr:colOff>142875</xdr:colOff>
      <xdr:row>38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210D60-A66B-4DBE-89EC-B99A6BD6F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59533</xdr:colOff>
      <xdr:row>10</xdr:row>
      <xdr:rowOff>39288</xdr:rowOff>
    </xdr:from>
    <xdr:to>
      <xdr:col>7</xdr:col>
      <xdr:colOff>583406</xdr:colOff>
      <xdr:row>26</xdr:row>
      <xdr:rowOff>11906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15A3D3-7D7C-40A5-8D4D-E06AE3217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71438</xdr:colOff>
      <xdr:row>10</xdr:row>
      <xdr:rowOff>17462</xdr:rowOff>
    </xdr:from>
    <xdr:to>
      <xdr:col>19</xdr:col>
      <xdr:colOff>309562</xdr:colOff>
      <xdr:row>32</xdr:row>
      <xdr:rowOff>83344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4A1074-BD31-4DE9-8744-C287999F3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27</xdr:row>
      <xdr:rowOff>147637</xdr:rowOff>
    </xdr:from>
    <xdr:to>
      <xdr:col>13</xdr:col>
      <xdr:colOff>609600</xdr:colOff>
      <xdr:row>41</xdr:row>
      <xdr:rowOff>128587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CE4FAA-50C2-4839-B1DE-EFB07F7E7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>
      <selection activeCell="B2" sqref="B2"/>
    </sheetView>
  </sheetViews>
  <sheetFormatPr baseColWidth="10" defaultColWidth="14.42578125" defaultRowHeight="15" customHeight="1"/>
  <sheetData>
    <row r="1" spans="1:2">
      <c r="A1" s="1" t="s">
        <v>13</v>
      </c>
      <c r="B1" s="1" t="s">
        <v>24</v>
      </c>
    </row>
    <row r="2" spans="1:2">
      <c r="A2" s="1" t="s">
        <v>14</v>
      </c>
      <c r="B2" s="1" t="s">
        <v>197</v>
      </c>
    </row>
    <row r="3" spans="1:2">
      <c r="A3" s="1" t="s">
        <v>0</v>
      </c>
      <c r="B3" s="1" t="s">
        <v>198</v>
      </c>
    </row>
    <row r="4" spans="1:2">
      <c r="A4" s="1" t="s">
        <v>15</v>
      </c>
      <c r="B4" s="1" t="s">
        <v>25</v>
      </c>
    </row>
    <row r="5" spans="1:2">
      <c r="A5" s="1" t="s">
        <v>1</v>
      </c>
      <c r="B5" s="5" t="s">
        <v>26</v>
      </c>
    </row>
    <row r="6" spans="1:2">
      <c r="A6" t="s">
        <v>2</v>
      </c>
      <c r="B6" s="1" t="s">
        <v>132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4"/>
  <sheetViews>
    <sheetView topLeftCell="A10" workbookViewId="0">
      <selection activeCell="G3" sqref="G3:G11"/>
    </sheetView>
  </sheetViews>
  <sheetFormatPr baseColWidth="10" defaultColWidth="14.42578125" defaultRowHeight="15" customHeight="1"/>
  <cols>
    <col min="1" max="1" width="7.42578125" customWidth="1"/>
    <col min="2" max="2" width="17.5703125" customWidth="1"/>
    <col min="3" max="5" width="14.85546875" customWidth="1"/>
    <col min="6" max="6" width="9.140625" customWidth="1"/>
    <col min="7" max="19" width="10.7109375" customWidth="1"/>
  </cols>
  <sheetData>
    <row r="1" spans="1:9">
      <c r="A1" s="7" t="s">
        <v>3</v>
      </c>
      <c r="B1" s="7" t="s">
        <v>28</v>
      </c>
      <c r="C1" s="13" t="s">
        <v>79</v>
      </c>
      <c r="D1" s="13" t="s">
        <v>80</v>
      </c>
      <c r="E1" s="14" t="s">
        <v>81</v>
      </c>
      <c r="F1" s="7" t="s">
        <v>4</v>
      </c>
      <c r="I1" s="2"/>
    </row>
    <row r="2" spans="1:9">
      <c r="A2" s="8">
        <v>2020</v>
      </c>
      <c r="B2" s="11" t="s">
        <v>29</v>
      </c>
      <c r="C2" s="13">
        <v>6</v>
      </c>
      <c r="D2" s="13">
        <v>2</v>
      </c>
      <c r="E2" s="14">
        <v>13</v>
      </c>
      <c r="F2" s="9">
        <f t="shared" ref="F2:F8" si="0">SUM(C2:E2)</f>
        <v>21</v>
      </c>
    </row>
    <row r="3" spans="1:9">
      <c r="A3" s="8">
        <v>2020</v>
      </c>
      <c r="B3" s="11" t="s">
        <v>30</v>
      </c>
      <c r="C3">
        <v>6</v>
      </c>
      <c r="D3">
        <v>3</v>
      </c>
      <c r="E3" s="15">
        <v>9</v>
      </c>
      <c r="F3" s="9">
        <f t="shared" si="0"/>
        <v>18</v>
      </c>
    </row>
    <row r="4" spans="1:9">
      <c r="A4" s="8">
        <v>2021</v>
      </c>
      <c r="B4" s="11" t="s">
        <v>29</v>
      </c>
      <c r="C4" s="13">
        <v>6</v>
      </c>
      <c r="D4" s="13">
        <v>4</v>
      </c>
      <c r="E4" s="14">
        <v>4</v>
      </c>
      <c r="F4" s="9">
        <f t="shared" si="0"/>
        <v>14</v>
      </c>
    </row>
    <row r="5" spans="1:9">
      <c r="A5" s="8">
        <v>2021</v>
      </c>
      <c r="B5" s="11" t="s">
        <v>30</v>
      </c>
      <c r="C5">
        <v>5</v>
      </c>
      <c r="D5">
        <v>3</v>
      </c>
      <c r="E5" s="15">
        <v>10</v>
      </c>
      <c r="F5" s="9">
        <f t="shared" si="0"/>
        <v>18</v>
      </c>
    </row>
    <row r="6" spans="1:9">
      <c r="A6" s="8">
        <v>2022</v>
      </c>
      <c r="B6" s="11" t="s">
        <v>29</v>
      </c>
      <c r="C6" s="13">
        <v>8</v>
      </c>
      <c r="D6" s="13">
        <v>6</v>
      </c>
      <c r="E6" s="14">
        <v>9</v>
      </c>
      <c r="F6" s="9">
        <f t="shared" si="0"/>
        <v>23</v>
      </c>
    </row>
    <row r="7" spans="1:9">
      <c r="A7" s="8">
        <v>2022</v>
      </c>
      <c r="B7" s="11" t="s">
        <v>30</v>
      </c>
      <c r="C7">
        <v>5</v>
      </c>
      <c r="D7">
        <v>11</v>
      </c>
      <c r="E7" s="15">
        <v>9</v>
      </c>
      <c r="F7" s="9">
        <f t="shared" si="0"/>
        <v>25</v>
      </c>
    </row>
    <row r="8" spans="1:9">
      <c r="A8" s="8">
        <v>2023</v>
      </c>
      <c r="B8" s="11" t="s">
        <v>29</v>
      </c>
      <c r="C8" s="13">
        <v>12</v>
      </c>
      <c r="D8" s="13">
        <v>11</v>
      </c>
      <c r="E8" s="14">
        <v>14</v>
      </c>
      <c r="F8" s="9">
        <f t="shared" si="0"/>
        <v>37</v>
      </c>
    </row>
    <row r="9" spans="1:9">
      <c r="A9" s="8">
        <v>2023</v>
      </c>
      <c r="B9" s="11" t="s">
        <v>30</v>
      </c>
      <c r="C9">
        <v>4</v>
      </c>
      <c r="D9">
        <v>11</v>
      </c>
      <c r="E9" s="15">
        <v>23</v>
      </c>
      <c r="F9" s="9">
        <f>SUM(C9:E9)</f>
        <v>38</v>
      </c>
    </row>
    <row r="10" spans="1:9">
      <c r="A10" s="8">
        <v>2024</v>
      </c>
      <c r="B10" s="11" t="s">
        <v>29</v>
      </c>
      <c r="C10">
        <v>7</v>
      </c>
      <c r="D10">
        <v>6</v>
      </c>
      <c r="E10" s="15">
        <v>22</v>
      </c>
      <c r="F10" s="9">
        <f>SUM(C10:E10)</f>
        <v>35</v>
      </c>
    </row>
    <row r="11" spans="1:9">
      <c r="A11" s="8">
        <v>2024</v>
      </c>
      <c r="B11" s="11" t="s">
        <v>30</v>
      </c>
      <c r="C11">
        <v>7</v>
      </c>
      <c r="D11">
        <v>14</v>
      </c>
      <c r="E11" s="15">
        <v>11</v>
      </c>
      <c r="F11" s="9">
        <f>SUM(C11:E11)</f>
        <v>32</v>
      </c>
    </row>
    <row r="12" spans="1:9">
      <c r="A12" s="8">
        <v>2025</v>
      </c>
      <c r="B12" s="26" t="s">
        <v>29</v>
      </c>
      <c r="C12">
        <v>6</v>
      </c>
      <c r="D12">
        <v>11</v>
      </c>
      <c r="E12" s="30">
        <v>20</v>
      </c>
      <c r="F12" s="9">
        <f>SUM(C12:E12)</f>
        <v>37</v>
      </c>
    </row>
    <row r="13" spans="1:9">
      <c r="A13" s="10" t="s">
        <v>20</v>
      </c>
      <c r="B13" s="10"/>
      <c r="C13" s="9">
        <f>SUM(C2:C12)</f>
        <v>72</v>
      </c>
      <c r="D13" s="9">
        <f>SUM(D2:D12)</f>
        <v>82</v>
      </c>
      <c r="E13" s="9">
        <f>SUM(E2:E12)</f>
        <v>144</v>
      </c>
      <c r="F13" s="9">
        <f>SUM(F2:F12)</f>
        <v>298</v>
      </c>
    </row>
    <row r="15" spans="1:9">
      <c r="A15" s="1" t="s">
        <v>0</v>
      </c>
      <c r="B15" s="1" t="s">
        <v>82</v>
      </c>
      <c r="C15" s="1"/>
    </row>
    <row r="16" spans="1:9">
      <c r="A16" s="5" t="s">
        <v>14</v>
      </c>
      <c r="B16" s="1" t="s">
        <v>199</v>
      </c>
      <c r="C16" s="5"/>
    </row>
    <row r="17" spans="1:3">
      <c r="A17" s="1" t="s">
        <v>5</v>
      </c>
      <c r="B17" s="5" t="s">
        <v>27</v>
      </c>
      <c r="C17" s="1"/>
    </row>
    <row r="18" spans="1:3">
      <c r="A18" s="1" t="s">
        <v>7</v>
      </c>
      <c r="B18" s="1" t="s">
        <v>23</v>
      </c>
      <c r="C18" s="1"/>
    </row>
    <row r="19" spans="1:3" ht="15" customHeight="1">
      <c r="A19" s="1"/>
      <c r="B19" s="1"/>
      <c r="C19" s="1"/>
    </row>
    <row r="20" spans="1:3" ht="15" customHeight="1">
      <c r="A20" s="1" t="s">
        <v>10</v>
      </c>
      <c r="B20" s="1" t="s">
        <v>16</v>
      </c>
      <c r="C20" s="1"/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3"/>
  <sheetViews>
    <sheetView topLeftCell="A195" workbookViewId="0">
      <selection activeCell="E2" sqref="E2:E218"/>
    </sheetView>
  </sheetViews>
  <sheetFormatPr baseColWidth="10" defaultColWidth="14.42578125" defaultRowHeight="15" customHeight="1"/>
  <cols>
    <col min="1" max="1" width="11.85546875" bestFit="1" customWidth="1"/>
    <col min="2" max="2" width="10.7109375" customWidth="1"/>
    <col min="3" max="3" width="17.42578125" customWidth="1"/>
    <col min="4" max="6" width="10.7109375" customWidth="1"/>
    <col min="7" max="7" width="17.5703125" bestFit="1" customWidth="1"/>
    <col min="8" max="8" width="14" bestFit="1" customWidth="1"/>
    <col min="9" max="26" width="10.7109375" customWidth="1"/>
  </cols>
  <sheetData>
    <row r="1" spans="1:5">
      <c r="A1" s="3" t="s">
        <v>17</v>
      </c>
      <c r="B1" s="3" t="s">
        <v>3</v>
      </c>
      <c r="C1" s="3" t="s">
        <v>157</v>
      </c>
      <c r="D1" s="3" t="s">
        <v>8</v>
      </c>
      <c r="E1" s="3" t="s">
        <v>9</v>
      </c>
    </row>
    <row r="2" spans="1:5">
      <c r="A2" t="s">
        <v>83</v>
      </c>
      <c r="B2">
        <v>2020</v>
      </c>
      <c r="C2" t="s">
        <v>81</v>
      </c>
      <c r="D2" t="s">
        <v>129</v>
      </c>
      <c r="E2">
        <v>1</v>
      </c>
    </row>
    <row r="3" spans="1:5">
      <c r="A3" t="s">
        <v>83</v>
      </c>
      <c r="B3">
        <v>2020</v>
      </c>
      <c r="C3" t="s">
        <v>81</v>
      </c>
      <c r="D3" t="s">
        <v>128</v>
      </c>
      <c r="E3">
        <v>1</v>
      </c>
    </row>
    <row r="4" spans="1:5">
      <c r="A4" t="s">
        <v>83</v>
      </c>
      <c r="B4">
        <v>2020</v>
      </c>
      <c r="C4" t="s">
        <v>80</v>
      </c>
      <c r="D4" t="s">
        <v>128</v>
      </c>
      <c r="E4">
        <v>2</v>
      </c>
    </row>
    <row r="5" spans="1:5">
      <c r="A5" t="s">
        <v>83</v>
      </c>
      <c r="B5">
        <v>2020</v>
      </c>
      <c r="C5" t="s">
        <v>79</v>
      </c>
      <c r="D5" t="s">
        <v>129</v>
      </c>
      <c r="E5">
        <v>1</v>
      </c>
    </row>
    <row r="6" spans="1:5">
      <c r="A6" t="s">
        <v>83</v>
      </c>
      <c r="B6">
        <v>2020</v>
      </c>
      <c r="C6" t="s">
        <v>79</v>
      </c>
      <c r="D6" t="s">
        <v>128</v>
      </c>
      <c r="E6">
        <v>2</v>
      </c>
    </row>
    <row r="7" spans="1:5">
      <c r="A7" t="s">
        <v>83</v>
      </c>
      <c r="B7">
        <v>2021</v>
      </c>
      <c r="C7" t="s">
        <v>81</v>
      </c>
      <c r="D7" t="s">
        <v>128</v>
      </c>
      <c r="E7">
        <v>2</v>
      </c>
    </row>
    <row r="8" spans="1:5">
      <c r="A8" t="s">
        <v>83</v>
      </c>
      <c r="B8">
        <v>2021</v>
      </c>
      <c r="C8" t="s">
        <v>79</v>
      </c>
      <c r="D8" t="s">
        <v>129</v>
      </c>
      <c r="E8">
        <v>2</v>
      </c>
    </row>
    <row r="9" spans="1:5">
      <c r="A9" t="s">
        <v>83</v>
      </c>
      <c r="B9">
        <v>2022</v>
      </c>
      <c r="C9" t="s">
        <v>81</v>
      </c>
      <c r="D9" t="s">
        <v>129</v>
      </c>
      <c r="E9">
        <v>2</v>
      </c>
    </row>
    <row r="10" spans="1:5">
      <c r="A10" t="s">
        <v>83</v>
      </c>
      <c r="B10">
        <v>2022</v>
      </c>
      <c r="C10" t="s">
        <v>79</v>
      </c>
      <c r="D10" t="s">
        <v>129</v>
      </c>
      <c r="E10">
        <v>1</v>
      </c>
    </row>
    <row r="11" spans="1:5">
      <c r="A11" t="s">
        <v>83</v>
      </c>
      <c r="B11">
        <v>2022</v>
      </c>
      <c r="C11" t="s">
        <v>79</v>
      </c>
      <c r="D11" t="s">
        <v>128</v>
      </c>
      <c r="E11">
        <v>1</v>
      </c>
    </row>
    <row r="12" spans="1:5">
      <c r="A12" t="s">
        <v>83</v>
      </c>
      <c r="B12">
        <v>2023</v>
      </c>
      <c r="C12" t="s">
        <v>81</v>
      </c>
      <c r="D12" t="s">
        <v>128</v>
      </c>
      <c r="E12">
        <v>4</v>
      </c>
    </row>
    <row r="13" spans="1:5">
      <c r="A13" t="s">
        <v>83</v>
      </c>
      <c r="B13">
        <v>2023</v>
      </c>
      <c r="C13" t="s">
        <v>79</v>
      </c>
      <c r="D13" t="s">
        <v>129</v>
      </c>
      <c r="E13">
        <v>3</v>
      </c>
    </row>
    <row r="14" spans="1:5">
      <c r="A14" t="s">
        <v>83</v>
      </c>
      <c r="B14">
        <v>2023</v>
      </c>
      <c r="C14" t="s">
        <v>79</v>
      </c>
      <c r="D14" t="s">
        <v>128</v>
      </c>
      <c r="E14">
        <v>1</v>
      </c>
    </row>
    <row r="15" spans="1:5">
      <c r="A15" t="s">
        <v>83</v>
      </c>
      <c r="B15">
        <v>2024</v>
      </c>
      <c r="C15" t="s">
        <v>81</v>
      </c>
      <c r="D15" t="s">
        <v>128</v>
      </c>
      <c r="E15">
        <v>10</v>
      </c>
    </row>
    <row r="16" spans="1:5">
      <c r="A16" t="s">
        <v>83</v>
      </c>
      <c r="B16">
        <v>2024</v>
      </c>
      <c r="C16" t="s">
        <v>80</v>
      </c>
      <c r="D16" t="s">
        <v>128</v>
      </c>
      <c r="E16">
        <v>1</v>
      </c>
    </row>
    <row r="17" spans="1:5">
      <c r="A17" t="s">
        <v>83</v>
      </c>
      <c r="B17">
        <v>2024</v>
      </c>
      <c r="C17" t="s">
        <v>79</v>
      </c>
      <c r="D17" t="s">
        <v>129</v>
      </c>
      <c r="E17">
        <v>4</v>
      </c>
    </row>
    <row r="18" spans="1:5">
      <c r="A18" t="s">
        <v>84</v>
      </c>
      <c r="B18">
        <v>2022</v>
      </c>
      <c r="C18" t="s">
        <v>79</v>
      </c>
      <c r="D18" t="s">
        <v>129</v>
      </c>
      <c r="E18">
        <v>2</v>
      </c>
    </row>
    <row r="19" spans="1:5">
      <c r="A19" t="s">
        <v>85</v>
      </c>
      <c r="B19">
        <v>2020</v>
      </c>
      <c r="C19" t="s">
        <v>79</v>
      </c>
      <c r="D19" t="s">
        <v>128</v>
      </c>
      <c r="E19">
        <v>1</v>
      </c>
    </row>
    <row r="20" spans="1:5">
      <c r="A20" t="s">
        <v>133</v>
      </c>
      <c r="B20">
        <v>2020</v>
      </c>
      <c r="C20" t="s">
        <v>80</v>
      </c>
      <c r="D20" t="s">
        <v>128</v>
      </c>
      <c r="E20">
        <v>1</v>
      </c>
    </row>
    <row r="21" spans="1:5">
      <c r="A21" t="s">
        <v>86</v>
      </c>
      <c r="B21">
        <v>2020</v>
      </c>
      <c r="C21" t="s">
        <v>81</v>
      </c>
      <c r="D21" t="s">
        <v>129</v>
      </c>
      <c r="E21">
        <v>1</v>
      </c>
    </row>
    <row r="22" spans="1:5">
      <c r="A22" t="s">
        <v>86</v>
      </c>
      <c r="B22">
        <v>2020</v>
      </c>
      <c r="C22" t="s">
        <v>80</v>
      </c>
      <c r="D22" t="s">
        <v>129</v>
      </c>
      <c r="E22">
        <v>1</v>
      </c>
    </row>
    <row r="23" spans="1:5">
      <c r="A23" t="s">
        <v>86</v>
      </c>
      <c r="B23">
        <v>2022</v>
      </c>
      <c r="C23" t="s">
        <v>81</v>
      </c>
      <c r="D23" t="s">
        <v>129</v>
      </c>
      <c r="E23">
        <v>1</v>
      </c>
    </row>
    <row r="24" spans="1:5">
      <c r="A24" t="s">
        <v>86</v>
      </c>
      <c r="B24">
        <v>2022</v>
      </c>
      <c r="C24" t="s">
        <v>80</v>
      </c>
      <c r="D24" t="s">
        <v>129</v>
      </c>
      <c r="E24">
        <v>2</v>
      </c>
    </row>
    <row r="25" spans="1:5">
      <c r="A25" t="s">
        <v>86</v>
      </c>
      <c r="B25">
        <v>2023</v>
      </c>
      <c r="C25" t="s">
        <v>81</v>
      </c>
      <c r="D25" t="s">
        <v>129</v>
      </c>
      <c r="E25">
        <v>1</v>
      </c>
    </row>
    <row r="26" spans="1:5">
      <c r="A26" t="s">
        <v>86</v>
      </c>
      <c r="B26">
        <v>2023</v>
      </c>
      <c r="C26" t="s">
        <v>81</v>
      </c>
      <c r="D26" t="s">
        <v>128</v>
      </c>
      <c r="E26">
        <v>4</v>
      </c>
    </row>
    <row r="27" spans="1:5">
      <c r="A27" t="s">
        <v>86</v>
      </c>
      <c r="B27">
        <v>2023</v>
      </c>
      <c r="C27" t="s">
        <v>79</v>
      </c>
      <c r="D27" t="s">
        <v>129</v>
      </c>
      <c r="E27">
        <v>1</v>
      </c>
    </row>
    <row r="28" spans="1:5">
      <c r="A28" t="s">
        <v>86</v>
      </c>
      <c r="B28">
        <v>2024</v>
      </c>
      <c r="C28" t="s">
        <v>81</v>
      </c>
      <c r="D28" t="s">
        <v>129</v>
      </c>
      <c r="E28">
        <v>1</v>
      </c>
    </row>
    <row r="29" spans="1:5">
      <c r="A29" t="s">
        <v>134</v>
      </c>
      <c r="B29">
        <v>2024</v>
      </c>
      <c r="C29" t="s">
        <v>80</v>
      </c>
      <c r="D29" t="s">
        <v>128</v>
      </c>
      <c r="E29">
        <v>2</v>
      </c>
    </row>
    <row r="30" spans="1:5">
      <c r="A30" t="s">
        <v>134</v>
      </c>
      <c r="B30">
        <v>2024</v>
      </c>
      <c r="C30" t="s">
        <v>79</v>
      </c>
      <c r="D30" t="s">
        <v>128</v>
      </c>
      <c r="E30">
        <v>1</v>
      </c>
    </row>
    <row r="31" spans="1:5">
      <c r="A31" t="s">
        <v>87</v>
      </c>
      <c r="B31">
        <v>2023</v>
      </c>
      <c r="C31" t="s">
        <v>81</v>
      </c>
      <c r="D31" t="s">
        <v>128</v>
      </c>
      <c r="E31">
        <v>1</v>
      </c>
    </row>
    <row r="32" spans="1:5">
      <c r="A32" t="s">
        <v>87</v>
      </c>
      <c r="B32">
        <v>2023</v>
      </c>
      <c r="C32" t="s">
        <v>80</v>
      </c>
      <c r="D32" t="s">
        <v>128</v>
      </c>
      <c r="E32">
        <v>2</v>
      </c>
    </row>
    <row r="33" spans="1:5">
      <c r="A33" t="s">
        <v>135</v>
      </c>
      <c r="B33">
        <v>2022</v>
      </c>
      <c r="C33" t="s">
        <v>79</v>
      </c>
      <c r="D33" t="s">
        <v>128</v>
      </c>
      <c r="E33">
        <v>1</v>
      </c>
    </row>
    <row r="34" spans="1:5">
      <c r="A34" t="s">
        <v>135</v>
      </c>
      <c r="B34">
        <v>2024</v>
      </c>
      <c r="C34" t="s">
        <v>80</v>
      </c>
      <c r="D34" t="s">
        <v>128</v>
      </c>
      <c r="E34">
        <v>1</v>
      </c>
    </row>
    <row r="35" spans="1:5">
      <c r="A35" t="s">
        <v>88</v>
      </c>
      <c r="B35">
        <v>2021</v>
      </c>
      <c r="C35" t="s">
        <v>81</v>
      </c>
      <c r="D35" t="s">
        <v>129</v>
      </c>
      <c r="E35">
        <v>1</v>
      </c>
    </row>
    <row r="36" spans="1:5">
      <c r="A36" t="s">
        <v>88</v>
      </c>
      <c r="B36">
        <v>2022</v>
      </c>
      <c r="C36" t="s">
        <v>80</v>
      </c>
      <c r="D36" t="s">
        <v>129</v>
      </c>
      <c r="E36">
        <v>2</v>
      </c>
    </row>
    <row r="37" spans="1:5">
      <c r="A37" t="s">
        <v>88</v>
      </c>
      <c r="B37">
        <v>2024</v>
      </c>
      <c r="C37" t="s">
        <v>81</v>
      </c>
      <c r="D37" t="s">
        <v>128</v>
      </c>
      <c r="E37">
        <v>2</v>
      </c>
    </row>
    <row r="38" spans="1:5">
      <c r="A38" t="s">
        <v>136</v>
      </c>
      <c r="B38">
        <v>2024</v>
      </c>
      <c r="C38" t="s">
        <v>80</v>
      </c>
      <c r="D38" t="s">
        <v>128</v>
      </c>
      <c r="E38">
        <v>1</v>
      </c>
    </row>
    <row r="39" spans="1:5">
      <c r="A39" t="s">
        <v>137</v>
      </c>
      <c r="B39">
        <v>2023</v>
      </c>
      <c r="C39" t="s">
        <v>81</v>
      </c>
      <c r="D39" t="s">
        <v>129</v>
      </c>
      <c r="E39">
        <v>1</v>
      </c>
    </row>
    <row r="40" spans="1:5">
      <c r="A40" t="s">
        <v>89</v>
      </c>
      <c r="B40">
        <v>2020</v>
      </c>
      <c r="C40" t="s">
        <v>81</v>
      </c>
      <c r="D40" t="s">
        <v>129</v>
      </c>
      <c r="E40">
        <v>1</v>
      </c>
    </row>
    <row r="41" spans="1:5">
      <c r="A41" t="s">
        <v>90</v>
      </c>
      <c r="B41">
        <v>2023</v>
      </c>
      <c r="C41" t="s">
        <v>81</v>
      </c>
      <c r="D41" t="s">
        <v>129</v>
      </c>
      <c r="E41">
        <v>1</v>
      </c>
    </row>
    <row r="42" spans="1:5">
      <c r="A42" t="s">
        <v>91</v>
      </c>
      <c r="B42">
        <v>2022</v>
      </c>
      <c r="C42" t="s">
        <v>79</v>
      </c>
      <c r="D42" t="s">
        <v>128</v>
      </c>
      <c r="E42">
        <v>1</v>
      </c>
    </row>
    <row r="43" spans="1:5">
      <c r="A43" t="s">
        <v>92</v>
      </c>
      <c r="B43">
        <v>2020</v>
      </c>
      <c r="C43" t="s">
        <v>81</v>
      </c>
      <c r="D43" t="s">
        <v>129</v>
      </c>
      <c r="E43">
        <v>1</v>
      </c>
    </row>
    <row r="44" spans="1:5">
      <c r="A44" t="s">
        <v>92</v>
      </c>
      <c r="B44">
        <v>2020</v>
      </c>
      <c r="C44" t="s">
        <v>81</v>
      </c>
      <c r="D44" t="s">
        <v>128</v>
      </c>
      <c r="E44">
        <v>1</v>
      </c>
    </row>
    <row r="45" spans="1:5">
      <c r="A45" t="s">
        <v>92</v>
      </c>
      <c r="B45">
        <v>2020</v>
      </c>
      <c r="C45" t="s">
        <v>80</v>
      </c>
      <c r="D45" t="s">
        <v>129</v>
      </c>
      <c r="E45">
        <v>1</v>
      </c>
    </row>
    <row r="46" spans="1:5">
      <c r="A46" t="s">
        <v>92</v>
      </c>
      <c r="B46">
        <v>2020</v>
      </c>
      <c r="C46" t="s">
        <v>79</v>
      </c>
      <c r="D46" t="s">
        <v>129</v>
      </c>
      <c r="E46">
        <v>2</v>
      </c>
    </row>
    <row r="47" spans="1:5">
      <c r="A47" t="s">
        <v>92</v>
      </c>
      <c r="B47">
        <v>2020</v>
      </c>
      <c r="C47" t="s">
        <v>79</v>
      </c>
      <c r="D47" t="s">
        <v>128</v>
      </c>
      <c r="E47">
        <v>1</v>
      </c>
    </row>
    <row r="48" spans="1:5">
      <c r="A48" t="s">
        <v>92</v>
      </c>
      <c r="B48">
        <v>2021</v>
      </c>
      <c r="C48" t="s">
        <v>81</v>
      </c>
      <c r="D48" t="s">
        <v>129</v>
      </c>
      <c r="E48">
        <v>1</v>
      </c>
    </row>
    <row r="49" spans="1:5">
      <c r="A49" t="s">
        <v>92</v>
      </c>
      <c r="B49">
        <v>2021</v>
      </c>
      <c r="C49" t="s">
        <v>81</v>
      </c>
      <c r="D49" t="s">
        <v>128</v>
      </c>
      <c r="E49">
        <v>1</v>
      </c>
    </row>
    <row r="50" spans="1:5">
      <c r="A50" t="s">
        <v>92</v>
      </c>
      <c r="B50">
        <v>2021</v>
      </c>
      <c r="C50" t="s">
        <v>80</v>
      </c>
      <c r="D50" t="s">
        <v>128</v>
      </c>
      <c r="E50">
        <v>1</v>
      </c>
    </row>
    <row r="51" spans="1:5">
      <c r="A51" t="s">
        <v>92</v>
      </c>
      <c r="B51">
        <v>2021</v>
      </c>
      <c r="C51" t="s">
        <v>79</v>
      </c>
      <c r="D51" t="s">
        <v>129</v>
      </c>
      <c r="E51">
        <v>1</v>
      </c>
    </row>
    <row r="52" spans="1:5">
      <c r="A52" t="s">
        <v>92</v>
      </c>
      <c r="B52">
        <v>2021</v>
      </c>
      <c r="C52" t="s">
        <v>79</v>
      </c>
      <c r="D52" t="s">
        <v>128</v>
      </c>
      <c r="E52">
        <v>1</v>
      </c>
    </row>
    <row r="53" spans="1:5">
      <c r="A53" t="s">
        <v>92</v>
      </c>
      <c r="B53">
        <v>2022</v>
      </c>
      <c r="C53" t="s">
        <v>80</v>
      </c>
      <c r="D53" t="s">
        <v>129</v>
      </c>
      <c r="E53">
        <v>1</v>
      </c>
    </row>
    <row r="54" spans="1:5">
      <c r="A54" t="s">
        <v>92</v>
      </c>
      <c r="B54">
        <v>2022</v>
      </c>
      <c r="C54" t="s">
        <v>80</v>
      </c>
      <c r="D54" t="s">
        <v>128</v>
      </c>
      <c r="E54">
        <v>2</v>
      </c>
    </row>
    <row r="55" spans="1:5">
      <c r="A55" t="s">
        <v>92</v>
      </c>
      <c r="B55">
        <v>2022</v>
      </c>
      <c r="C55" t="s">
        <v>79</v>
      </c>
      <c r="D55" t="s">
        <v>129</v>
      </c>
      <c r="E55">
        <v>1</v>
      </c>
    </row>
    <row r="56" spans="1:5">
      <c r="A56" t="s">
        <v>92</v>
      </c>
      <c r="B56">
        <v>2022</v>
      </c>
      <c r="C56" t="s">
        <v>79</v>
      </c>
      <c r="D56" t="s">
        <v>128</v>
      </c>
      <c r="E56">
        <v>1</v>
      </c>
    </row>
    <row r="57" spans="1:5">
      <c r="A57" t="s">
        <v>92</v>
      </c>
      <c r="B57">
        <v>2023</v>
      </c>
      <c r="C57" t="s">
        <v>81</v>
      </c>
      <c r="D57" t="s">
        <v>129</v>
      </c>
      <c r="E57">
        <v>1</v>
      </c>
    </row>
    <row r="58" spans="1:5">
      <c r="A58" t="s">
        <v>92</v>
      </c>
      <c r="B58">
        <v>2023</v>
      </c>
      <c r="C58" t="s">
        <v>81</v>
      </c>
      <c r="D58" t="s">
        <v>128</v>
      </c>
      <c r="E58">
        <v>2</v>
      </c>
    </row>
    <row r="59" spans="1:5">
      <c r="A59" t="s">
        <v>92</v>
      </c>
      <c r="B59">
        <v>2023</v>
      </c>
      <c r="C59" t="s">
        <v>80</v>
      </c>
      <c r="D59" t="s">
        <v>129</v>
      </c>
      <c r="E59">
        <v>2</v>
      </c>
    </row>
    <row r="60" spans="1:5">
      <c r="A60" t="s">
        <v>92</v>
      </c>
      <c r="B60">
        <v>2023</v>
      </c>
      <c r="C60" t="s">
        <v>80</v>
      </c>
      <c r="D60" t="s">
        <v>128</v>
      </c>
      <c r="E60">
        <v>2</v>
      </c>
    </row>
    <row r="61" spans="1:5">
      <c r="A61" t="s">
        <v>92</v>
      </c>
      <c r="B61">
        <v>2023</v>
      </c>
      <c r="C61" t="s">
        <v>79</v>
      </c>
      <c r="D61" t="s">
        <v>129</v>
      </c>
      <c r="E61">
        <v>1</v>
      </c>
    </row>
    <row r="62" spans="1:5">
      <c r="A62" t="s">
        <v>92</v>
      </c>
      <c r="B62">
        <v>2023</v>
      </c>
      <c r="C62" t="s">
        <v>79</v>
      </c>
      <c r="D62" t="s">
        <v>128</v>
      </c>
      <c r="E62">
        <v>2</v>
      </c>
    </row>
    <row r="63" spans="1:5">
      <c r="A63" t="s">
        <v>92</v>
      </c>
      <c r="B63">
        <v>2024</v>
      </c>
      <c r="C63" t="s">
        <v>81</v>
      </c>
      <c r="D63" t="s">
        <v>129</v>
      </c>
      <c r="E63">
        <v>1</v>
      </c>
    </row>
    <row r="64" spans="1:5">
      <c r="A64" t="s">
        <v>92</v>
      </c>
      <c r="B64">
        <v>2024</v>
      </c>
      <c r="C64" t="s">
        <v>81</v>
      </c>
      <c r="D64" t="s">
        <v>128</v>
      </c>
      <c r="E64">
        <v>7</v>
      </c>
    </row>
    <row r="65" spans="1:5">
      <c r="A65" t="s">
        <v>92</v>
      </c>
      <c r="B65">
        <v>2024</v>
      </c>
      <c r="C65" t="s">
        <v>80</v>
      </c>
      <c r="D65" t="s">
        <v>129</v>
      </c>
      <c r="E65">
        <v>2</v>
      </c>
    </row>
    <row r="66" spans="1:5">
      <c r="A66" t="s">
        <v>92</v>
      </c>
      <c r="B66">
        <v>2024</v>
      </c>
      <c r="C66" t="s">
        <v>80</v>
      </c>
      <c r="D66" t="s">
        <v>128</v>
      </c>
      <c r="E66">
        <v>4</v>
      </c>
    </row>
    <row r="67" spans="1:5">
      <c r="A67" t="s">
        <v>92</v>
      </c>
      <c r="B67">
        <v>2024</v>
      </c>
      <c r="C67" t="s">
        <v>79</v>
      </c>
      <c r="D67" t="s">
        <v>128</v>
      </c>
      <c r="E67">
        <v>3</v>
      </c>
    </row>
    <row r="68" spans="1:5">
      <c r="A68" t="s">
        <v>138</v>
      </c>
      <c r="B68">
        <v>2022</v>
      </c>
      <c r="C68" t="s">
        <v>81</v>
      </c>
      <c r="D68" t="s">
        <v>128</v>
      </c>
      <c r="E68">
        <v>1</v>
      </c>
    </row>
    <row r="69" spans="1:5">
      <c r="A69" t="s">
        <v>139</v>
      </c>
      <c r="B69">
        <v>2023</v>
      </c>
      <c r="C69" t="s">
        <v>81</v>
      </c>
      <c r="D69" t="s">
        <v>129</v>
      </c>
      <c r="E69">
        <v>1</v>
      </c>
    </row>
    <row r="70" spans="1:5">
      <c r="A70" t="s">
        <v>93</v>
      </c>
      <c r="B70">
        <v>2020</v>
      </c>
      <c r="C70" t="s">
        <v>81</v>
      </c>
      <c r="D70" t="s">
        <v>128</v>
      </c>
      <c r="E70">
        <v>1</v>
      </c>
    </row>
    <row r="71" spans="1:5">
      <c r="A71" t="s">
        <v>94</v>
      </c>
      <c r="B71">
        <v>2022</v>
      </c>
      <c r="C71" t="s">
        <v>80</v>
      </c>
      <c r="D71" t="s">
        <v>128</v>
      </c>
      <c r="E71">
        <v>3</v>
      </c>
    </row>
    <row r="72" spans="1:5">
      <c r="A72" t="s">
        <v>94</v>
      </c>
      <c r="B72">
        <v>2023</v>
      </c>
      <c r="C72" t="s">
        <v>80</v>
      </c>
      <c r="D72" t="s">
        <v>128</v>
      </c>
      <c r="E72">
        <v>2</v>
      </c>
    </row>
    <row r="73" spans="1:5">
      <c r="A73" t="s">
        <v>94</v>
      </c>
      <c r="B73">
        <v>2024</v>
      </c>
      <c r="C73" t="s">
        <v>80</v>
      </c>
      <c r="D73" t="s">
        <v>128</v>
      </c>
      <c r="E73">
        <v>1</v>
      </c>
    </row>
    <row r="74" spans="1:5">
      <c r="A74" t="s">
        <v>95</v>
      </c>
      <c r="B74">
        <v>2020</v>
      </c>
      <c r="C74" t="s">
        <v>79</v>
      </c>
      <c r="D74" t="s">
        <v>128</v>
      </c>
      <c r="E74">
        <v>1</v>
      </c>
    </row>
    <row r="75" spans="1:5">
      <c r="A75" t="s">
        <v>95</v>
      </c>
      <c r="B75">
        <v>2021</v>
      </c>
      <c r="C75" t="s">
        <v>80</v>
      </c>
      <c r="D75" t="s">
        <v>128</v>
      </c>
      <c r="E75">
        <v>1</v>
      </c>
    </row>
    <row r="76" spans="1:5">
      <c r="A76" t="s">
        <v>95</v>
      </c>
      <c r="B76">
        <v>2023</v>
      </c>
      <c r="C76" t="s">
        <v>81</v>
      </c>
      <c r="D76" t="s">
        <v>128</v>
      </c>
      <c r="E76">
        <v>2</v>
      </c>
    </row>
    <row r="77" spans="1:5">
      <c r="A77" t="s">
        <v>95</v>
      </c>
      <c r="B77">
        <v>2023</v>
      </c>
      <c r="C77" t="s">
        <v>79</v>
      </c>
      <c r="D77" t="s">
        <v>128</v>
      </c>
      <c r="E77">
        <v>2</v>
      </c>
    </row>
    <row r="78" spans="1:5">
      <c r="A78" t="s">
        <v>95</v>
      </c>
      <c r="B78">
        <v>2024</v>
      </c>
      <c r="C78" t="s">
        <v>81</v>
      </c>
      <c r="D78" t="s">
        <v>128</v>
      </c>
      <c r="E78">
        <v>1</v>
      </c>
    </row>
    <row r="79" spans="1:5">
      <c r="A79" t="s">
        <v>96</v>
      </c>
      <c r="B79">
        <v>2023</v>
      </c>
      <c r="C79" t="s">
        <v>80</v>
      </c>
      <c r="D79" t="s">
        <v>128</v>
      </c>
      <c r="E79">
        <v>1</v>
      </c>
    </row>
    <row r="80" spans="1:5">
      <c r="A80" t="s">
        <v>97</v>
      </c>
      <c r="B80">
        <v>2020</v>
      </c>
      <c r="C80" t="s">
        <v>81</v>
      </c>
      <c r="D80" t="s">
        <v>128</v>
      </c>
      <c r="E80">
        <v>1</v>
      </c>
    </row>
    <row r="81" spans="1:5">
      <c r="A81" t="s">
        <v>98</v>
      </c>
      <c r="B81">
        <v>2021</v>
      </c>
      <c r="C81" t="s">
        <v>81</v>
      </c>
      <c r="D81" t="s">
        <v>128</v>
      </c>
      <c r="E81">
        <v>1</v>
      </c>
    </row>
    <row r="82" spans="1:5">
      <c r="A82" t="s">
        <v>99</v>
      </c>
      <c r="B82">
        <v>2022</v>
      </c>
      <c r="C82" t="s">
        <v>81</v>
      </c>
      <c r="D82" t="s">
        <v>129</v>
      </c>
      <c r="E82">
        <v>1</v>
      </c>
    </row>
    <row r="83" spans="1:5">
      <c r="A83" t="s">
        <v>99</v>
      </c>
      <c r="B83">
        <v>2023</v>
      </c>
      <c r="C83" t="s">
        <v>81</v>
      </c>
      <c r="D83" t="s">
        <v>128</v>
      </c>
      <c r="E83">
        <v>2</v>
      </c>
    </row>
    <row r="84" spans="1:5">
      <c r="A84" t="s">
        <v>100</v>
      </c>
      <c r="B84">
        <v>2023</v>
      </c>
      <c r="C84" t="s">
        <v>79</v>
      </c>
      <c r="D84" t="s">
        <v>129</v>
      </c>
      <c r="E84">
        <v>1</v>
      </c>
    </row>
    <row r="85" spans="1:5">
      <c r="A85" t="s">
        <v>101</v>
      </c>
      <c r="B85">
        <v>2023</v>
      </c>
      <c r="C85" t="s">
        <v>81</v>
      </c>
      <c r="D85" t="s">
        <v>129</v>
      </c>
      <c r="E85">
        <v>2</v>
      </c>
    </row>
    <row r="86" spans="1:5">
      <c r="A86" t="s">
        <v>140</v>
      </c>
      <c r="B86">
        <v>2024</v>
      </c>
      <c r="C86" t="s">
        <v>80</v>
      </c>
      <c r="D86" t="s">
        <v>128</v>
      </c>
      <c r="E86">
        <v>1</v>
      </c>
    </row>
    <row r="87" spans="1:5">
      <c r="A87" t="s">
        <v>141</v>
      </c>
      <c r="B87">
        <v>2023</v>
      </c>
      <c r="C87" t="s">
        <v>80</v>
      </c>
      <c r="D87" t="s">
        <v>128</v>
      </c>
      <c r="E87">
        <v>3</v>
      </c>
    </row>
    <row r="88" spans="1:5">
      <c r="A88" t="s">
        <v>142</v>
      </c>
      <c r="B88">
        <v>2023</v>
      </c>
      <c r="C88" t="s">
        <v>79</v>
      </c>
      <c r="D88" t="s">
        <v>129</v>
      </c>
      <c r="E88">
        <v>2</v>
      </c>
    </row>
    <row r="89" spans="1:5">
      <c r="A89" t="s">
        <v>143</v>
      </c>
      <c r="B89">
        <v>2021</v>
      </c>
      <c r="C89" t="s">
        <v>79</v>
      </c>
      <c r="D89" t="s">
        <v>128</v>
      </c>
      <c r="E89">
        <v>1</v>
      </c>
    </row>
    <row r="90" spans="1:5">
      <c r="A90" t="s">
        <v>143</v>
      </c>
      <c r="B90">
        <v>2022</v>
      </c>
      <c r="C90" t="s">
        <v>81</v>
      </c>
      <c r="D90" t="s">
        <v>129</v>
      </c>
      <c r="E90">
        <v>1</v>
      </c>
    </row>
    <row r="91" spans="1:5">
      <c r="A91" t="s">
        <v>143</v>
      </c>
      <c r="B91">
        <v>2023</v>
      </c>
      <c r="C91" t="s">
        <v>81</v>
      </c>
      <c r="D91" t="s">
        <v>129</v>
      </c>
      <c r="E91">
        <v>1</v>
      </c>
    </row>
    <row r="92" spans="1:5">
      <c r="A92" t="s">
        <v>143</v>
      </c>
      <c r="B92">
        <v>2024</v>
      </c>
      <c r="C92" t="s">
        <v>79</v>
      </c>
      <c r="D92" t="s">
        <v>129</v>
      </c>
      <c r="E92">
        <v>1</v>
      </c>
    </row>
    <row r="93" spans="1:5">
      <c r="A93" t="s">
        <v>144</v>
      </c>
      <c r="B93">
        <v>2024</v>
      </c>
      <c r="C93" t="s">
        <v>81</v>
      </c>
      <c r="D93" t="s">
        <v>128</v>
      </c>
      <c r="E93">
        <v>1</v>
      </c>
    </row>
    <row r="94" spans="1:5">
      <c r="A94" t="s">
        <v>102</v>
      </c>
      <c r="B94">
        <v>2023</v>
      </c>
      <c r="C94" t="s">
        <v>81</v>
      </c>
      <c r="D94" t="s">
        <v>129</v>
      </c>
      <c r="E94">
        <v>1</v>
      </c>
    </row>
    <row r="95" spans="1:5">
      <c r="A95" t="s">
        <v>102</v>
      </c>
      <c r="B95">
        <v>2023</v>
      </c>
      <c r="C95" t="s">
        <v>81</v>
      </c>
      <c r="D95" t="s">
        <v>128</v>
      </c>
      <c r="E95">
        <v>1</v>
      </c>
    </row>
    <row r="96" spans="1:5">
      <c r="A96" t="s">
        <v>103</v>
      </c>
      <c r="B96">
        <v>2020</v>
      </c>
      <c r="C96" t="s">
        <v>81</v>
      </c>
      <c r="D96" t="s">
        <v>128</v>
      </c>
      <c r="E96">
        <v>1</v>
      </c>
    </row>
    <row r="97" spans="1:5">
      <c r="A97" t="s">
        <v>103</v>
      </c>
      <c r="B97">
        <v>2022</v>
      </c>
      <c r="C97" t="s">
        <v>80</v>
      </c>
      <c r="D97" t="s">
        <v>128</v>
      </c>
      <c r="E97">
        <v>1</v>
      </c>
    </row>
    <row r="98" spans="1:5">
      <c r="A98" t="s">
        <v>103</v>
      </c>
      <c r="B98">
        <v>2023</v>
      </c>
      <c r="C98" t="s">
        <v>81</v>
      </c>
      <c r="D98" t="s">
        <v>128</v>
      </c>
      <c r="E98">
        <v>1</v>
      </c>
    </row>
    <row r="99" spans="1:5">
      <c r="A99" t="s">
        <v>103</v>
      </c>
      <c r="B99">
        <v>2023</v>
      </c>
      <c r="C99" t="s">
        <v>80</v>
      </c>
      <c r="D99" t="s">
        <v>129</v>
      </c>
      <c r="E99">
        <v>1</v>
      </c>
    </row>
    <row r="100" spans="1:5">
      <c r="A100" t="s">
        <v>103</v>
      </c>
      <c r="B100">
        <v>2023</v>
      </c>
      <c r="C100" t="s">
        <v>79</v>
      </c>
      <c r="D100" t="s">
        <v>129</v>
      </c>
      <c r="E100">
        <v>1</v>
      </c>
    </row>
    <row r="101" spans="1:5">
      <c r="A101" t="s">
        <v>104</v>
      </c>
      <c r="B101">
        <v>2023</v>
      </c>
      <c r="C101" t="s">
        <v>81</v>
      </c>
      <c r="D101" t="s">
        <v>128</v>
      </c>
      <c r="E101">
        <v>3</v>
      </c>
    </row>
    <row r="102" spans="1:5">
      <c r="A102" t="s">
        <v>145</v>
      </c>
      <c r="B102">
        <v>2024</v>
      </c>
      <c r="C102" t="s">
        <v>81</v>
      </c>
      <c r="D102" t="s">
        <v>128</v>
      </c>
      <c r="E102">
        <v>1</v>
      </c>
    </row>
    <row r="103" spans="1:5">
      <c r="A103" t="s">
        <v>105</v>
      </c>
      <c r="B103">
        <v>2020</v>
      </c>
      <c r="C103" t="s">
        <v>79</v>
      </c>
      <c r="D103" t="s">
        <v>129</v>
      </c>
      <c r="E103">
        <v>1</v>
      </c>
    </row>
    <row r="104" spans="1:5">
      <c r="A104" t="s">
        <v>106</v>
      </c>
      <c r="B104">
        <v>2020</v>
      </c>
      <c r="C104" t="s">
        <v>81</v>
      </c>
      <c r="D104" t="s">
        <v>128</v>
      </c>
      <c r="E104">
        <v>1</v>
      </c>
    </row>
    <row r="105" spans="1:5">
      <c r="A105" t="s">
        <v>106</v>
      </c>
      <c r="B105">
        <v>2021</v>
      </c>
      <c r="C105" t="s">
        <v>81</v>
      </c>
      <c r="D105" t="s">
        <v>128</v>
      </c>
      <c r="E105">
        <v>1</v>
      </c>
    </row>
    <row r="106" spans="1:5">
      <c r="A106" t="s">
        <v>106</v>
      </c>
      <c r="B106">
        <v>2021</v>
      </c>
      <c r="C106" t="s">
        <v>80</v>
      </c>
      <c r="D106" t="s">
        <v>128</v>
      </c>
      <c r="E106">
        <v>2</v>
      </c>
    </row>
    <row r="107" spans="1:5">
      <c r="A107" t="s">
        <v>106</v>
      </c>
      <c r="B107">
        <v>2021</v>
      </c>
      <c r="C107" t="s">
        <v>79</v>
      </c>
      <c r="D107" t="s">
        <v>129</v>
      </c>
      <c r="E107">
        <v>1</v>
      </c>
    </row>
    <row r="108" spans="1:5">
      <c r="A108" t="s">
        <v>106</v>
      </c>
      <c r="B108">
        <v>2022</v>
      </c>
      <c r="C108" t="s">
        <v>81</v>
      </c>
      <c r="D108" t="s">
        <v>128</v>
      </c>
      <c r="E108">
        <v>1</v>
      </c>
    </row>
    <row r="109" spans="1:5">
      <c r="A109" t="s">
        <v>106</v>
      </c>
      <c r="B109">
        <v>2022</v>
      </c>
      <c r="C109" t="s">
        <v>80</v>
      </c>
      <c r="D109" t="s">
        <v>129</v>
      </c>
      <c r="E109">
        <v>2</v>
      </c>
    </row>
    <row r="110" spans="1:5">
      <c r="A110" t="s">
        <v>106</v>
      </c>
      <c r="B110">
        <v>2022</v>
      </c>
      <c r="C110" t="s">
        <v>79</v>
      </c>
      <c r="D110" t="s">
        <v>129</v>
      </c>
      <c r="E110">
        <v>1</v>
      </c>
    </row>
    <row r="111" spans="1:5">
      <c r="A111" t="s">
        <v>106</v>
      </c>
      <c r="B111">
        <v>2022</v>
      </c>
      <c r="C111" t="s">
        <v>79</v>
      </c>
      <c r="D111" t="s">
        <v>128</v>
      </c>
      <c r="E111">
        <v>1</v>
      </c>
    </row>
    <row r="112" spans="1:5">
      <c r="A112" t="s">
        <v>106</v>
      </c>
      <c r="B112">
        <v>2024</v>
      </c>
      <c r="C112" t="s">
        <v>80</v>
      </c>
      <c r="D112" t="s">
        <v>128</v>
      </c>
      <c r="E112">
        <v>1</v>
      </c>
    </row>
    <row r="113" spans="1:5">
      <c r="A113" t="s">
        <v>107</v>
      </c>
      <c r="B113">
        <v>2022</v>
      </c>
      <c r="C113" t="s">
        <v>80</v>
      </c>
      <c r="D113" t="s">
        <v>129</v>
      </c>
      <c r="E113">
        <v>1</v>
      </c>
    </row>
    <row r="114" spans="1:5">
      <c r="A114" t="s">
        <v>108</v>
      </c>
      <c r="B114">
        <v>2020</v>
      </c>
      <c r="C114" t="s">
        <v>81</v>
      </c>
      <c r="D114" t="s">
        <v>129</v>
      </c>
      <c r="E114">
        <v>1</v>
      </c>
    </row>
    <row r="115" spans="1:5">
      <c r="A115" t="s">
        <v>108</v>
      </c>
      <c r="B115">
        <v>2021</v>
      </c>
      <c r="C115" t="s">
        <v>81</v>
      </c>
      <c r="D115" t="s">
        <v>129</v>
      </c>
      <c r="E115">
        <v>1</v>
      </c>
    </row>
    <row r="116" spans="1:5" ht="15.75" customHeight="1">
      <c r="A116" t="s">
        <v>108</v>
      </c>
      <c r="B116">
        <v>2022</v>
      </c>
      <c r="C116" t="s">
        <v>81</v>
      </c>
      <c r="D116" t="s">
        <v>128</v>
      </c>
      <c r="E116">
        <v>1</v>
      </c>
    </row>
    <row r="117" spans="1:5" ht="15.75" customHeight="1">
      <c r="A117" t="s">
        <v>108</v>
      </c>
      <c r="B117">
        <v>2023</v>
      </c>
      <c r="C117" t="s">
        <v>80</v>
      </c>
      <c r="D117" t="s">
        <v>128</v>
      </c>
      <c r="E117">
        <v>1</v>
      </c>
    </row>
    <row r="118" spans="1:5" ht="15.75" customHeight="1">
      <c r="A118" t="s">
        <v>109</v>
      </c>
      <c r="B118">
        <v>2023</v>
      </c>
      <c r="C118" t="s">
        <v>79</v>
      </c>
      <c r="D118" t="s">
        <v>128</v>
      </c>
      <c r="E118">
        <v>1</v>
      </c>
    </row>
    <row r="119" spans="1:5" ht="15.75" customHeight="1">
      <c r="A119" t="s">
        <v>110</v>
      </c>
      <c r="B119">
        <v>2021</v>
      </c>
      <c r="C119" t="s">
        <v>79</v>
      </c>
      <c r="D119" t="s">
        <v>128</v>
      </c>
      <c r="E119">
        <v>1</v>
      </c>
    </row>
    <row r="120" spans="1:5" ht="15.75" customHeight="1">
      <c r="A120" t="s">
        <v>110</v>
      </c>
      <c r="B120">
        <v>2024</v>
      </c>
      <c r="C120" t="s">
        <v>80</v>
      </c>
      <c r="D120" t="s">
        <v>128</v>
      </c>
      <c r="E120">
        <v>1</v>
      </c>
    </row>
    <row r="121" spans="1:5" ht="15.75" customHeight="1">
      <c r="A121" t="s">
        <v>111</v>
      </c>
      <c r="B121">
        <v>2020</v>
      </c>
      <c r="C121" t="s">
        <v>81</v>
      </c>
      <c r="D121" t="s">
        <v>129</v>
      </c>
      <c r="E121">
        <v>1</v>
      </c>
    </row>
    <row r="122" spans="1:5" ht="15.75" customHeight="1">
      <c r="A122" t="s">
        <v>111</v>
      </c>
      <c r="B122">
        <v>2022</v>
      </c>
      <c r="C122" t="s">
        <v>79</v>
      </c>
      <c r="D122" t="s">
        <v>129</v>
      </c>
      <c r="E122">
        <v>1</v>
      </c>
    </row>
    <row r="123" spans="1:5" ht="15.75" customHeight="1">
      <c r="A123" t="s">
        <v>111</v>
      </c>
      <c r="B123">
        <v>2023</v>
      </c>
      <c r="C123" t="s">
        <v>80</v>
      </c>
      <c r="D123" t="s">
        <v>128</v>
      </c>
      <c r="E123">
        <v>2</v>
      </c>
    </row>
    <row r="124" spans="1:5" ht="15.75" customHeight="1">
      <c r="A124" t="s">
        <v>112</v>
      </c>
      <c r="B124">
        <v>2021</v>
      </c>
      <c r="C124" t="s">
        <v>81</v>
      </c>
      <c r="D124" t="s">
        <v>128</v>
      </c>
      <c r="E124">
        <v>1</v>
      </c>
    </row>
    <row r="125" spans="1:5" ht="15.75" customHeight="1">
      <c r="A125" t="s">
        <v>113</v>
      </c>
      <c r="B125">
        <v>2020</v>
      </c>
      <c r="C125" t="s">
        <v>79</v>
      </c>
      <c r="D125" t="s">
        <v>128</v>
      </c>
      <c r="E125">
        <v>1</v>
      </c>
    </row>
    <row r="126" spans="1:5" ht="15.75" customHeight="1">
      <c r="A126" t="s">
        <v>113</v>
      </c>
      <c r="B126">
        <v>2021</v>
      </c>
      <c r="C126" t="s">
        <v>80</v>
      </c>
      <c r="D126" t="s">
        <v>129</v>
      </c>
      <c r="E126">
        <v>1</v>
      </c>
    </row>
    <row r="127" spans="1:5" ht="15.75" customHeight="1">
      <c r="A127" t="s">
        <v>113</v>
      </c>
      <c r="B127">
        <v>2022</v>
      </c>
      <c r="C127" t="s">
        <v>81</v>
      </c>
      <c r="D127" t="s">
        <v>128</v>
      </c>
      <c r="E127">
        <v>1</v>
      </c>
    </row>
    <row r="128" spans="1:5" ht="15.75" customHeight="1">
      <c r="A128" t="s">
        <v>113</v>
      </c>
      <c r="B128">
        <v>2023</v>
      </c>
      <c r="C128" t="s">
        <v>80</v>
      </c>
      <c r="D128" t="s">
        <v>129</v>
      </c>
      <c r="E128">
        <v>1</v>
      </c>
    </row>
    <row r="129" spans="1:5" ht="15.75" customHeight="1">
      <c r="A129" t="s">
        <v>113</v>
      </c>
      <c r="B129">
        <v>2024</v>
      </c>
      <c r="C129" t="s">
        <v>80</v>
      </c>
      <c r="D129" t="s">
        <v>128</v>
      </c>
      <c r="E129">
        <v>1</v>
      </c>
    </row>
    <row r="130" spans="1:5" ht="15.75" customHeight="1">
      <c r="A130" t="s">
        <v>146</v>
      </c>
      <c r="B130">
        <v>2024</v>
      </c>
      <c r="C130" t="s">
        <v>80</v>
      </c>
      <c r="D130" t="s">
        <v>128</v>
      </c>
      <c r="E130">
        <v>1</v>
      </c>
    </row>
    <row r="131" spans="1:5" ht="15.75" customHeight="1">
      <c r="A131" t="s">
        <v>147</v>
      </c>
      <c r="B131">
        <v>2024</v>
      </c>
      <c r="C131" t="s">
        <v>79</v>
      </c>
      <c r="D131" t="s">
        <v>128</v>
      </c>
      <c r="E131">
        <v>1</v>
      </c>
    </row>
    <row r="132" spans="1:5" ht="15.75" customHeight="1">
      <c r="A132" t="s">
        <v>148</v>
      </c>
      <c r="B132">
        <v>2024</v>
      </c>
      <c r="C132" t="s">
        <v>79</v>
      </c>
      <c r="D132" t="s">
        <v>128</v>
      </c>
      <c r="E132">
        <v>1</v>
      </c>
    </row>
    <row r="133" spans="1:5" ht="15.75" customHeight="1">
      <c r="A133" t="s">
        <v>114</v>
      </c>
      <c r="B133">
        <v>2020</v>
      </c>
      <c r="C133" t="s">
        <v>81</v>
      </c>
      <c r="D133" t="s">
        <v>128</v>
      </c>
      <c r="E133">
        <v>1</v>
      </c>
    </row>
    <row r="134" spans="1:5" ht="15.75" customHeight="1">
      <c r="A134" t="s">
        <v>115</v>
      </c>
      <c r="B134">
        <v>2020</v>
      </c>
      <c r="C134" t="s">
        <v>79</v>
      </c>
      <c r="D134" t="s">
        <v>129</v>
      </c>
      <c r="E134">
        <v>1</v>
      </c>
    </row>
    <row r="135" spans="1:5" ht="15.75" customHeight="1">
      <c r="A135" t="s">
        <v>115</v>
      </c>
      <c r="B135">
        <v>2023</v>
      </c>
      <c r="C135" t="s">
        <v>81</v>
      </c>
      <c r="D135" t="s">
        <v>129</v>
      </c>
      <c r="E135">
        <v>1</v>
      </c>
    </row>
    <row r="136" spans="1:5" ht="15.75" customHeight="1">
      <c r="A136" t="s">
        <v>115</v>
      </c>
      <c r="B136">
        <v>2023</v>
      </c>
      <c r="C136" t="s">
        <v>81</v>
      </c>
      <c r="D136" t="s">
        <v>128</v>
      </c>
      <c r="E136">
        <v>1</v>
      </c>
    </row>
    <row r="137" spans="1:5" ht="15.75" customHeight="1">
      <c r="A137" t="s">
        <v>116</v>
      </c>
      <c r="B137">
        <v>2022</v>
      </c>
      <c r="C137" t="s">
        <v>81</v>
      </c>
      <c r="D137" t="s">
        <v>129</v>
      </c>
      <c r="E137">
        <v>1</v>
      </c>
    </row>
    <row r="138" spans="1:5" ht="15.75" customHeight="1">
      <c r="A138" t="s">
        <v>117</v>
      </c>
      <c r="B138">
        <v>2021</v>
      </c>
      <c r="C138" t="s">
        <v>79</v>
      </c>
      <c r="D138" t="s">
        <v>128</v>
      </c>
      <c r="E138">
        <v>1</v>
      </c>
    </row>
    <row r="139" spans="1:5" ht="15.75" customHeight="1">
      <c r="A139" t="s">
        <v>118</v>
      </c>
      <c r="B139">
        <v>2021</v>
      </c>
      <c r="C139" t="s">
        <v>81</v>
      </c>
      <c r="D139" t="s">
        <v>128</v>
      </c>
      <c r="E139">
        <v>1</v>
      </c>
    </row>
    <row r="140" spans="1:5" ht="15.75" customHeight="1">
      <c r="A140" t="s">
        <v>118</v>
      </c>
      <c r="B140">
        <v>2024</v>
      </c>
      <c r="C140" t="s">
        <v>81</v>
      </c>
      <c r="D140" t="s">
        <v>129</v>
      </c>
      <c r="E140">
        <v>1</v>
      </c>
    </row>
    <row r="141" spans="1:5" ht="15.75" customHeight="1">
      <c r="A141" t="s">
        <v>119</v>
      </c>
      <c r="B141">
        <v>2023</v>
      </c>
      <c r="C141" t="s">
        <v>80</v>
      </c>
      <c r="D141" t="s">
        <v>128</v>
      </c>
      <c r="E141">
        <v>2</v>
      </c>
    </row>
    <row r="142" spans="1:5" ht="15.75" customHeight="1">
      <c r="A142" t="s">
        <v>120</v>
      </c>
      <c r="B142">
        <v>2023</v>
      </c>
      <c r="C142" t="s">
        <v>79</v>
      </c>
      <c r="D142" t="s">
        <v>129</v>
      </c>
      <c r="E142">
        <v>1</v>
      </c>
    </row>
    <row r="143" spans="1:5" ht="15.75" customHeight="1">
      <c r="A143" t="s">
        <v>120</v>
      </c>
      <c r="B143">
        <v>2024</v>
      </c>
      <c r="C143" t="s">
        <v>80</v>
      </c>
      <c r="D143" t="s">
        <v>128</v>
      </c>
      <c r="E143">
        <v>1</v>
      </c>
    </row>
    <row r="144" spans="1:5" ht="15.75" customHeight="1">
      <c r="A144" t="s">
        <v>120</v>
      </c>
      <c r="B144">
        <v>2024</v>
      </c>
      <c r="C144" t="s">
        <v>79</v>
      </c>
      <c r="D144" t="s">
        <v>129</v>
      </c>
      <c r="E144">
        <v>1</v>
      </c>
    </row>
    <row r="145" spans="1:5" ht="15.75" customHeight="1">
      <c r="A145" t="s">
        <v>121</v>
      </c>
      <c r="B145">
        <v>2020</v>
      </c>
      <c r="C145" t="s">
        <v>81</v>
      </c>
      <c r="D145" t="s">
        <v>129</v>
      </c>
      <c r="E145">
        <v>2</v>
      </c>
    </row>
    <row r="146" spans="1:5" ht="15.75" customHeight="1">
      <c r="A146" t="s">
        <v>121</v>
      </c>
      <c r="B146">
        <v>2020</v>
      </c>
      <c r="C146" t="s">
        <v>81</v>
      </c>
      <c r="D146" t="s">
        <v>128</v>
      </c>
      <c r="E146">
        <v>4</v>
      </c>
    </row>
    <row r="147" spans="1:5" ht="15.75" customHeight="1">
      <c r="A147" t="s">
        <v>121</v>
      </c>
      <c r="B147">
        <v>2020</v>
      </c>
      <c r="C147" t="s">
        <v>79</v>
      </c>
      <c r="D147" t="s">
        <v>128</v>
      </c>
      <c r="E147">
        <v>1</v>
      </c>
    </row>
    <row r="148" spans="1:5" ht="15.75" customHeight="1">
      <c r="A148" t="s">
        <v>121</v>
      </c>
      <c r="B148">
        <v>2021</v>
      </c>
      <c r="C148" t="s">
        <v>81</v>
      </c>
      <c r="D148" t="s">
        <v>128</v>
      </c>
      <c r="E148">
        <v>1</v>
      </c>
    </row>
    <row r="149" spans="1:5" ht="15.75" customHeight="1">
      <c r="A149" t="s">
        <v>121</v>
      </c>
      <c r="B149">
        <v>2021</v>
      </c>
      <c r="C149" t="s">
        <v>80</v>
      </c>
      <c r="D149" t="s">
        <v>129</v>
      </c>
      <c r="E149">
        <v>1</v>
      </c>
    </row>
    <row r="150" spans="1:5" ht="15.75" customHeight="1">
      <c r="A150" t="s">
        <v>121</v>
      </c>
      <c r="B150">
        <v>2021</v>
      </c>
      <c r="C150" t="s">
        <v>79</v>
      </c>
      <c r="D150" t="s">
        <v>129</v>
      </c>
      <c r="E150">
        <v>1</v>
      </c>
    </row>
    <row r="151" spans="1:5" ht="15.75" customHeight="1">
      <c r="A151" t="s">
        <v>121</v>
      </c>
      <c r="B151">
        <v>2021</v>
      </c>
      <c r="C151" t="s">
        <v>79</v>
      </c>
      <c r="D151" t="s">
        <v>128</v>
      </c>
      <c r="E151">
        <v>1</v>
      </c>
    </row>
    <row r="152" spans="1:5" ht="15.75" customHeight="1">
      <c r="A152" t="s">
        <v>121</v>
      </c>
      <c r="B152">
        <v>2022</v>
      </c>
      <c r="C152" t="s">
        <v>81</v>
      </c>
      <c r="D152" t="s">
        <v>129</v>
      </c>
      <c r="E152">
        <v>5</v>
      </c>
    </row>
    <row r="153" spans="1:5" ht="15.75" customHeight="1">
      <c r="A153" t="s">
        <v>121</v>
      </c>
      <c r="B153">
        <v>2022</v>
      </c>
      <c r="C153" t="s">
        <v>81</v>
      </c>
      <c r="D153" t="s">
        <v>128</v>
      </c>
      <c r="E153">
        <v>1</v>
      </c>
    </row>
    <row r="154" spans="1:5" ht="15.75" customHeight="1">
      <c r="A154" t="s">
        <v>121</v>
      </c>
      <c r="B154">
        <v>2022</v>
      </c>
      <c r="C154" t="s">
        <v>80</v>
      </c>
      <c r="D154" t="s">
        <v>128</v>
      </c>
      <c r="E154">
        <v>1</v>
      </c>
    </row>
    <row r="155" spans="1:5" ht="15.75" customHeight="1">
      <c r="A155" t="s">
        <v>121</v>
      </c>
      <c r="B155">
        <v>2023</v>
      </c>
      <c r="C155" t="s">
        <v>81</v>
      </c>
      <c r="D155" t="s">
        <v>129</v>
      </c>
      <c r="E155">
        <v>2</v>
      </c>
    </row>
    <row r="156" spans="1:5" ht="15.75" customHeight="1">
      <c r="A156" t="s">
        <v>121</v>
      </c>
      <c r="B156">
        <v>2023</v>
      </c>
      <c r="C156" t="s">
        <v>81</v>
      </c>
      <c r="D156" t="s">
        <v>128</v>
      </c>
      <c r="E156">
        <v>2</v>
      </c>
    </row>
    <row r="157" spans="1:5" ht="15.75" customHeight="1">
      <c r="A157" t="s">
        <v>121</v>
      </c>
      <c r="B157">
        <v>2023</v>
      </c>
      <c r="C157" t="s">
        <v>80</v>
      </c>
      <c r="D157" t="s">
        <v>129</v>
      </c>
      <c r="E157">
        <v>2</v>
      </c>
    </row>
    <row r="158" spans="1:5" ht="15.75" customHeight="1">
      <c r="A158" t="s">
        <v>121</v>
      </c>
      <c r="B158">
        <v>2024</v>
      </c>
      <c r="C158" t="s">
        <v>81</v>
      </c>
      <c r="D158" t="s">
        <v>129</v>
      </c>
      <c r="E158">
        <v>2</v>
      </c>
    </row>
    <row r="159" spans="1:5" ht="15.75" customHeight="1">
      <c r="A159" t="s">
        <v>121</v>
      </c>
      <c r="B159">
        <v>2024</v>
      </c>
      <c r="C159" t="s">
        <v>81</v>
      </c>
      <c r="D159" t="s">
        <v>128</v>
      </c>
      <c r="E159">
        <v>2</v>
      </c>
    </row>
    <row r="160" spans="1:5" ht="15.75" customHeight="1">
      <c r="A160" t="s">
        <v>121</v>
      </c>
      <c r="B160">
        <v>2024</v>
      </c>
      <c r="C160" t="s">
        <v>80</v>
      </c>
      <c r="D160" t="s">
        <v>129</v>
      </c>
      <c r="E160">
        <v>1</v>
      </c>
    </row>
    <row r="161" spans="1:5" ht="15.75" customHeight="1">
      <c r="A161" t="s">
        <v>121</v>
      </c>
      <c r="B161">
        <v>2024</v>
      </c>
      <c r="C161" t="s">
        <v>79</v>
      </c>
      <c r="D161" t="s">
        <v>129</v>
      </c>
      <c r="E161">
        <v>1</v>
      </c>
    </row>
    <row r="162" spans="1:5" ht="15.75" customHeight="1">
      <c r="A162" t="s">
        <v>122</v>
      </c>
      <c r="B162">
        <v>2023</v>
      </c>
      <c r="C162" t="s">
        <v>80</v>
      </c>
      <c r="D162" t="s">
        <v>128</v>
      </c>
      <c r="E162">
        <v>1</v>
      </c>
    </row>
    <row r="163" spans="1:5" ht="15.75" customHeight="1">
      <c r="A163" t="s">
        <v>149</v>
      </c>
      <c r="B163">
        <v>2022</v>
      </c>
      <c r="C163" t="s">
        <v>80</v>
      </c>
      <c r="D163" t="s">
        <v>128</v>
      </c>
      <c r="E163">
        <v>1</v>
      </c>
    </row>
    <row r="164" spans="1:5" ht="15.75" customHeight="1">
      <c r="A164" t="s">
        <v>150</v>
      </c>
      <c r="B164">
        <v>2022</v>
      </c>
      <c r="C164" t="s">
        <v>79</v>
      </c>
      <c r="D164" t="s">
        <v>129</v>
      </c>
      <c r="E164">
        <v>1</v>
      </c>
    </row>
    <row r="165" spans="1:5" ht="15.75" customHeight="1">
      <c r="A165" t="s">
        <v>150</v>
      </c>
      <c r="B165">
        <v>2024</v>
      </c>
      <c r="C165" t="s">
        <v>79</v>
      </c>
      <c r="D165" t="s">
        <v>128</v>
      </c>
      <c r="E165">
        <v>1</v>
      </c>
    </row>
    <row r="166" spans="1:5" ht="15.75" customHeight="1">
      <c r="A166" t="s">
        <v>151</v>
      </c>
      <c r="B166">
        <v>2023</v>
      </c>
      <c r="C166" t="s">
        <v>81</v>
      </c>
      <c r="D166" t="s">
        <v>129</v>
      </c>
      <c r="E166">
        <v>2</v>
      </c>
    </row>
    <row r="167" spans="1:5" ht="15.75" customHeight="1">
      <c r="A167" t="s">
        <v>123</v>
      </c>
      <c r="B167">
        <v>2022</v>
      </c>
      <c r="C167" t="s">
        <v>80</v>
      </c>
      <c r="D167" t="s">
        <v>128</v>
      </c>
      <c r="E167">
        <v>1</v>
      </c>
    </row>
    <row r="168" spans="1:5" ht="15.75" customHeight="1">
      <c r="A168" t="s">
        <v>152</v>
      </c>
      <c r="B168">
        <v>2020</v>
      </c>
      <c r="C168" t="s">
        <v>81</v>
      </c>
      <c r="D168" t="s">
        <v>128</v>
      </c>
      <c r="E168">
        <v>1</v>
      </c>
    </row>
    <row r="169" spans="1:5" ht="15.75" customHeight="1">
      <c r="A169" t="s">
        <v>153</v>
      </c>
      <c r="B169">
        <v>2020</v>
      </c>
      <c r="C169" t="s">
        <v>81</v>
      </c>
      <c r="D169" t="s">
        <v>129</v>
      </c>
      <c r="E169">
        <v>1</v>
      </c>
    </row>
    <row r="170" spans="1:5" ht="15.75" customHeight="1">
      <c r="A170" t="s">
        <v>153</v>
      </c>
      <c r="B170">
        <v>2021</v>
      </c>
      <c r="C170" t="s">
        <v>79</v>
      </c>
      <c r="D170" t="s">
        <v>128</v>
      </c>
      <c r="E170">
        <v>1</v>
      </c>
    </row>
    <row r="171" spans="1:5" ht="15.75" customHeight="1">
      <c r="A171" t="s">
        <v>124</v>
      </c>
      <c r="B171">
        <v>2021</v>
      </c>
      <c r="C171" t="s">
        <v>81</v>
      </c>
      <c r="D171" t="s">
        <v>128</v>
      </c>
      <c r="E171">
        <v>1</v>
      </c>
    </row>
    <row r="172" spans="1:5" ht="15.75" customHeight="1">
      <c r="A172" t="s">
        <v>154</v>
      </c>
      <c r="B172">
        <v>2021</v>
      </c>
      <c r="C172" t="s">
        <v>80</v>
      </c>
      <c r="D172" t="s">
        <v>128</v>
      </c>
      <c r="E172">
        <v>1</v>
      </c>
    </row>
    <row r="173" spans="1:5" ht="15.75" customHeight="1">
      <c r="A173" t="s">
        <v>154</v>
      </c>
      <c r="B173">
        <v>2022</v>
      </c>
      <c r="C173" t="s">
        <v>79</v>
      </c>
      <c r="D173" t="s">
        <v>129</v>
      </c>
      <c r="E173">
        <v>1</v>
      </c>
    </row>
    <row r="174" spans="1:5" ht="15.75" customHeight="1">
      <c r="A174" t="s">
        <v>155</v>
      </c>
      <c r="B174">
        <v>2024</v>
      </c>
      <c r="C174" t="s">
        <v>81</v>
      </c>
      <c r="D174" t="s">
        <v>128</v>
      </c>
      <c r="E174">
        <v>1</v>
      </c>
    </row>
    <row r="175" spans="1:5" ht="15.75" customHeight="1">
      <c r="A175" t="s">
        <v>156</v>
      </c>
      <c r="B175">
        <v>2021</v>
      </c>
      <c r="C175" t="s">
        <v>81</v>
      </c>
      <c r="D175" t="s">
        <v>129</v>
      </c>
      <c r="E175">
        <v>1</v>
      </c>
    </row>
    <row r="176" spans="1:5" ht="15.75" customHeight="1">
      <c r="A176" t="s">
        <v>156</v>
      </c>
      <c r="B176">
        <v>2024</v>
      </c>
      <c r="C176" t="s">
        <v>80</v>
      </c>
      <c r="D176" t="s">
        <v>128</v>
      </c>
      <c r="E176">
        <v>1</v>
      </c>
    </row>
    <row r="177" spans="1:5" ht="15.75" customHeight="1">
      <c r="A177" t="s">
        <v>125</v>
      </c>
      <c r="B177">
        <v>2020</v>
      </c>
      <c r="C177" t="s">
        <v>81</v>
      </c>
      <c r="D177" t="s">
        <v>128</v>
      </c>
      <c r="E177">
        <v>1</v>
      </c>
    </row>
    <row r="178" spans="1:5" ht="15.75" customHeight="1">
      <c r="A178" t="s">
        <v>125</v>
      </c>
      <c r="B178">
        <v>2022</v>
      </c>
      <c r="C178" t="s">
        <v>81</v>
      </c>
      <c r="D178" t="s">
        <v>129</v>
      </c>
      <c r="E178">
        <v>2</v>
      </c>
    </row>
    <row r="179" spans="1:5" ht="15.75" customHeight="1">
      <c r="A179" t="s">
        <v>125</v>
      </c>
      <c r="B179">
        <v>2024</v>
      </c>
      <c r="C179" t="s">
        <v>81</v>
      </c>
      <c r="D179" t="s">
        <v>129</v>
      </c>
      <c r="E179">
        <v>2</v>
      </c>
    </row>
    <row r="180" spans="1:5" ht="15.75" customHeight="1">
      <c r="A180" t="s">
        <v>125</v>
      </c>
      <c r="B180">
        <v>2024</v>
      </c>
      <c r="C180" t="s">
        <v>81</v>
      </c>
      <c r="D180" t="s">
        <v>128</v>
      </c>
      <c r="E180">
        <v>1</v>
      </c>
    </row>
    <row r="181" spans="1:5" ht="15.75" customHeight="1">
      <c r="A181" t="s">
        <v>126</v>
      </c>
      <c r="B181">
        <v>2021</v>
      </c>
      <c r="C181" t="s">
        <v>81</v>
      </c>
      <c r="D181" t="s">
        <v>129</v>
      </c>
      <c r="E181">
        <v>1</v>
      </c>
    </row>
    <row r="182" spans="1:5" ht="15.75" customHeight="1">
      <c r="A182" t="s">
        <v>83</v>
      </c>
      <c r="B182" s="27">
        <v>2025</v>
      </c>
      <c r="C182" t="s">
        <v>79</v>
      </c>
      <c r="D182" t="s">
        <v>205</v>
      </c>
      <c r="E182" s="4">
        <v>1</v>
      </c>
    </row>
    <row r="183" spans="1:5" ht="15" customHeight="1">
      <c r="A183" t="s">
        <v>92</v>
      </c>
      <c r="B183" s="27">
        <v>2025</v>
      </c>
      <c r="C183" t="s">
        <v>79</v>
      </c>
      <c r="D183" t="s">
        <v>206</v>
      </c>
      <c r="E183" s="4">
        <v>1</v>
      </c>
    </row>
    <row r="184" spans="1:5" ht="15" customHeight="1">
      <c r="A184" t="s">
        <v>87</v>
      </c>
      <c r="B184" s="27">
        <v>2025</v>
      </c>
      <c r="C184" t="s">
        <v>80</v>
      </c>
      <c r="D184" t="s">
        <v>205</v>
      </c>
      <c r="E184" s="4">
        <v>1</v>
      </c>
    </row>
    <row r="185" spans="1:5" ht="15" customHeight="1">
      <c r="A185" t="s">
        <v>84</v>
      </c>
      <c r="B185" s="27">
        <v>2025</v>
      </c>
      <c r="C185" t="s">
        <v>79</v>
      </c>
      <c r="D185" t="s">
        <v>205</v>
      </c>
      <c r="E185" s="4">
        <v>1</v>
      </c>
    </row>
    <row r="186" spans="1:5" ht="15" customHeight="1">
      <c r="A186" t="s">
        <v>121</v>
      </c>
      <c r="B186" s="27">
        <v>2025</v>
      </c>
      <c r="C186" t="s">
        <v>81</v>
      </c>
      <c r="D186" t="s">
        <v>205</v>
      </c>
      <c r="E186" s="4">
        <v>1</v>
      </c>
    </row>
    <row r="187" spans="1:5" ht="15" customHeight="1">
      <c r="A187" t="s">
        <v>83</v>
      </c>
      <c r="B187" s="27">
        <v>2025</v>
      </c>
      <c r="C187" t="s">
        <v>81</v>
      </c>
      <c r="D187" t="s">
        <v>205</v>
      </c>
      <c r="E187" s="4">
        <v>1</v>
      </c>
    </row>
    <row r="188" spans="1:5" ht="15" customHeight="1">
      <c r="A188" t="s">
        <v>88</v>
      </c>
      <c r="B188" s="27">
        <v>2025</v>
      </c>
      <c r="C188" t="s">
        <v>81</v>
      </c>
      <c r="D188" t="s">
        <v>205</v>
      </c>
      <c r="E188" s="4">
        <v>1</v>
      </c>
    </row>
    <row r="189" spans="1:5" ht="15" customHeight="1">
      <c r="A189" t="s">
        <v>83</v>
      </c>
      <c r="B189" s="27">
        <v>2025</v>
      </c>
      <c r="C189" t="s">
        <v>80</v>
      </c>
      <c r="D189" t="s">
        <v>205</v>
      </c>
      <c r="E189" s="4">
        <v>1</v>
      </c>
    </row>
    <row r="190" spans="1:5" ht="15" customHeight="1">
      <c r="A190" t="s">
        <v>94</v>
      </c>
      <c r="B190" s="27">
        <v>2025</v>
      </c>
      <c r="C190" t="s">
        <v>81</v>
      </c>
      <c r="D190" t="s">
        <v>205</v>
      </c>
      <c r="E190" s="4">
        <v>1</v>
      </c>
    </row>
    <row r="191" spans="1:5" ht="15" customHeight="1">
      <c r="A191" t="s">
        <v>146</v>
      </c>
      <c r="B191" s="27">
        <v>2025</v>
      </c>
      <c r="C191" t="s">
        <v>81</v>
      </c>
      <c r="D191" t="s">
        <v>206</v>
      </c>
      <c r="E191" s="4">
        <v>1</v>
      </c>
    </row>
    <row r="192" spans="1:5" ht="15" customHeight="1">
      <c r="A192" t="s">
        <v>156</v>
      </c>
      <c r="B192" s="27">
        <v>2025</v>
      </c>
      <c r="C192" t="s">
        <v>80</v>
      </c>
      <c r="D192" t="s">
        <v>206</v>
      </c>
      <c r="E192" s="4">
        <v>1</v>
      </c>
    </row>
    <row r="193" spans="1:5" ht="15" customHeight="1">
      <c r="A193" t="s">
        <v>200</v>
      </c>
      <c r="B193" s="27">
        <v>2025</v>
      </c>
      <c r="C193" t="s">
        <v>81</v>
      </c>
      <c r="D193" t="s">
        <v>205</v>
      </c>
      <c r="E193" s="4">
        <v>1</v>
      </c>
    </row>
    <row r="194" spans="1:5" ht="15" customHeight="1">
      <c r="A194" t="s">
        <v>83</v>
      </c>
      <c r="B194" s="27">
        <v>2025</v>
      </c>
      <c r="C194" t="s">
        <v>81</v>
      </c>
      <c r="D194" t="s">
        <v>205</v>
      </c>
      <c r="E194" s="4">
        <v>1</v>
      </c>
    </row>
    <row r="195" spans="1:5" ht="15" customHeight="1">
      <c r="A195" t="s">
        <v>92</v>
      </c>
      <c r="B195" s="27">
        <v>2025</v>
      </c>
      <c r="C195" t="s">
        <v>80</v>
      </c>
      <c r="D195" t="s">
        <v>206</v>
      </c>
      <c r="E195" s="4">
        <v>1</v>
      </c>
    </row>
    <row r="196" spans="1:5" ht="15" customHeight="1">
      <c r="A196" t="s">
        <v>83</v>
      </c>
      <c r="B196" s="27">
        <v>2025</v>
      </c>
      <c r="C196" t="s">
        <v>81</v>
      </c>
      <c r="D196" t="s">
        <v>206</v>
      </c>
      <c r="E196" s="4">
        <v>1</v>
      </c>
    </row>
    <row r="197" spans="1:5" ht="15" customHeight="1">
      <c r="A197" t="s">
        <v>201</v>
      </c>
      <c r="B197" s="27">
        <v>2025</v>
      </c>
      <c r="C197" t="s">
        <v>81</v>
      </c>
      <c r="D197" t="s">
        <v>206</v>
      </c>
      <c r="E197" s="4">
        <v>1</v>
      </c>
    </row>
    <row r="198" spans="1:5" ht="15" customHeight="1">
      <c r="A198" t="s">
        <v>142</v>
      </c>
      <c r="B198" s="27">
        <v>2025</v>
      </c>
      <c r="C198" t="s">
        <v>81</v>
      </c>
      <c r="D198" t="s">
        <v>205</v>
      </c>
      <c r="E198" s="4">
        <v>1</v>
      </c>
    </row>
    <row r="199" spans="1:5" ht="15" customHeight="1">
      <c r="A199" t="s">
        <v>123</v>
      </c>
      <c r="B199" s="27">
        <v>2025</v>
      </c>
      <c r="C199" t="s">
        <v>80</v>
      </c>
      <c r="D199" t="s">
        <v>206</v>
      </c>
      <c r="E199" s="4">
        <v>1</v>
      </c>
    </row>
    <row r="200" spans="1:5" ht="15" customHeight="1">
      <c r="A200" t="s">
        <v>110</v>
      </c>
      <c r="B200" s="27">
        <v>2025</v>
      </c>
      <c r="C200" t="s">
        <v>81</v>
      </c>
      <c r="D200" t="s">
        <v>205</v>
      </c>
      <c r="E200" s="4">
        <v>1</v>
      </c>
    </row>
    <row r="201" spans="1:5" ht="15" customHeight="1">
      <c r="A201" t="s">
        <v>83</v>
      </c>
      <c r="B201" s="27">
        <v>2025</v>
      </c>
      <c r="C201" t="s">
        <v>81</v>
      </c>
      <c r="D201" t="s">
        <v>205</v>
      </c>
      <c r="E201" s="4">
        <v>1</v>
      </c>
    </row>
    <row r="202" spans="1:5" ht="15" customHeight="1">
      <c r="A202" t="s">
        <v>98</v>
      </c>
      <c r="B202" s="27">
        <v>2025</v>
      </c>
      <c r="C202" t="s">
        <v>80</v>
      </c>
      <c r="D202" t="s">
        <v>205</v>
      </c>
      <c r="E202" s="4">
        <v>1</v>
      </c>
    </row>
    <row r="203" spans="1:5" ht="15" customHeight="1">
      <c r="A203" t="s">
        <v>83</v>
      </c>
      <c r="B203" s="27">
        <v>2025</v>
      </c>
      <c r="C203" t="s">
        <v>81</v>
      </c>
      <c r="D203" t="s">
        <v>205</v>
      </c>
      <c r="E203" s="4">
        <v>1</v>
      </c>
    </row>
    <row r="204" spans="1:5" ht="15" customHeight="1">
      <c r="A204" t="s">
        <v>83</v>
      </c>
      <c r="B204" s="27">
        <v>2025</v>
      </c>
      <c r="C204" t="s">
        <v>81</v>
      </c>
      <c r="D204" t="s">
        <v>205</v>
      </c>
      <c r="E204" s="4">
        <v>1</v>
      </c>
    </row>
    <row r="205" spans="1:5" ht="15" customHeight="1">
      <c r="A205" t="s">
        <v>202</v>
      </c>
      <c r="B205" s="27">
        <v>2025</v>
      </c>
      <c r="C205" t="s">
        <v>81</v>
      </c>
      <c r="D205" t="s">
        <v>205</v>
      </c>
      <c r="E205" s="4">
        <v>1</v>
      </c>
    </row>
    <row r="206" spans="1:5" ht="15" customHeight="1">
      <c r="A206" t="s">
        <v>92</v>
      </c>
      <c r="B206" s="27">
        <v>2025</v>
      </c>
      <c r="C206" t="s">
        <v>80</v>
      </c>
      <c r="D206" t="s">
        <v>205</v>
      </c>
      <c r="E206" s="4">
        <v>1</v>
      </c>
    </row>
    <row r="207" spans="1:5" ht="15" customHeight="1">
      <c r="A207" t="s">
        <v>121</v>
      </c>
      <c r="B207" s="27">
        <v>2025</v>
      </c>
      <c r="C207" t="s">
        <v>80</v>
      </c>
      <c r="D207" t="s">
        <v>205</v>
      </c>
      <c r="E207" s="4">
        <v>1</v>
      </c>
    </row>
    <row r="208" spans="1:5" ht="15" customHeight="1">
      <c r="A208" t="s">
        <v>92</v>
      </c>
      <c r="B208" s="27">
        <v>2025</v>
      </c>
      <c r="C208" t="s">
        <v>81</v>
      </c>
      <c r="D208" t="s">
        <v>205</v>
      </c>
      <c r="E208" s="4">
        <v>1</v>
      </c>
    </row>
    <row r="209" spans="1:5" ht="15" customHeight="1">
      <c r="A209" t="s">
        <v>89</v>
      </c>
      <c r="B209" s="27">
        <v>2025</v>
      </c>
      <c r="C209" t="s">
        <v>79</v>
      </c>
      <c r="D209" t="s">
        <v>206</v>
      </c>
      <c r="E209" s="4">
        <v>1</v>
      </c>
    </row>
    <row r="210" spans="1:5" ht="15" customHeight="1">
      <c r="A210" t="s">
        <v>93</v>
      </c>
      <c r="B210" s="27">
        <v>2025</v>
      </c>
      <c r="C210" t="s">
        <v>81</v>
      </c>
      <c r="D210" t="s">
        <v>205</v>
      </c>
      <c r="E210" s="4">
        <v>1</v>
      </c>
    </row>
    <row r="211" spans="1:5" ht="15" customHeight="1">
      <c r="A211" t="s">
        <v>203</v>
      </c>
      <c r="B211" s="27">
        <v>2025</v>
      </c>
      <c r="C211" t="s">
        <v>79</v>
      </c>
      <c r="D211" t="s">
        <v>205</v>
      </c>
      <c r="E211" s="4">
        <v>1</v>
      </c>
    </row>
    <row r="212" spans="1:5" ht="15" customHeight="1">
      <c r="A212" t="s">
        <v>83</v>
      </c>
      <c r="B212" s="27">
        <v>2025</v>
      </c>
      <c r="C212" t="s">
        <v>81</v>
      </c>
      <c r="D212" t="s">
        <v>206</v>
      </c>
      <c r="E212" s="4">
        <v>1</v>
      </c>
    </row>
    <row r="213" spans="1:5" ht="15" customHeight="1">
      <c r="A213" t="s">
        <v>92</v>
      </c>
      <c r="B213" s="27">
        <v>2025</v>
      </c>
      <c r="C213" t="s">
        <v>80</v>
      </c>
      <c r="D213" t="s">
        <v>205</v>
      </c>
      <c r="E213" s="4">
        <v>1</v>
      </c>
    </row>
    <row r="214" spans="1:5" ht="15" customHeight="1">
      <c r="A214" t="s">
        <v>92</v>
      </c>
      <c r="B214" s="27">
        <v>2025</v>
      </c>
      <c r="C214" t="s">
        <v>80</v>
      </c>
      <c r="D214" t="s">
        <v>206</v>
      </c>
      <c r="E214" s="4">
        <v>1</v>
      </c>
    </row>
    <row r="215" spans="1:5" ht="15" customHeight="1">
      <c r="A215" t="s">
        <v>204</v>
      </c>
      <c r="B215" s="27">
        <v>2025</v>
      </c>
      <c r="C215" t="s">
        <v>80</v>
      </c>
      <c r="D215" t="s">
        <v>205</v>
      </c>
      <c r="E215" s="4">
        <v>1</v>
      </c>
    </row>
    <row r="216" spans="1:5" ht="15" customHeight="1">
      <c r="A216" t="s">
        <v>121</v>
      </c>
      <c r="B216" s="27">
        <v>2025</v>
      </c>
      <c r="C216" t="s">
        <v>81</v>
      </c>
      <c r="D216" t="s">
        <v>206</v>
      </c>
      <c r="E216" s="4">
        <v>1</v>
      </c>
    </row>
    <row r="217" spans="1:5" ht="15" customHeight="1">
      <c r="A217" t="s">
        <v>114</v>
      </c>
      <c r="B217" s="27">
        <v>2025</v>
      </c>
      <c r="C217" t="s">
        <v>79</v>
      </c>
      <c r="D217" t="s">
        <v>206</v>
      </c>
      <c r="E217" s="4">
        <v>1</v>
      </c>
    </row>
    <row r="218" spans="1:5" ht="15" customHeight="1">
      <c r="A218" t="s">
        <v>92</v>
      </c>
      <c r="B218" s="27">
        <v>2025</v>
      </c>
      <c r="C218" t="s">
        <v>81</v>
      </c>
      <c r="D218" t="s">
        <v>206</v>
      </c>
      <c r="E218" s="4">
        <v>1</v>
      </c>
    </row>
    <row r="220" spans="1:5" ht="15" customHeight="1">
      <c r="A220" s="1" t="s">
        <v>10</v>
      </c>
      <c r="B220" s="1" t="s">
        <v>11</v>
      </c>
    </row>
    <row r="221" spans="1:5" ht="15" customHeight="1">
      <c r="A221" s="1" t="s">
        <v>12</v>
      </c>
      <c r="B221" s="1" t="s">
        <v>127</v>
      </c>
    </row>
    <row r="222" spans="1:5" ht="15" customHeight="1">
      <c r="A222" s="1" t="s">
        <v>14</v>
      </c>
      <c r="B222" s="1" t="s">
        <v>158</v>
      </c>
    </row>
    <row r="223" spans="1:5" ht="15" customHeight="1">
      <c r="A223" s="1" t="s">
        <v>5</v>
      </c>
      <c r="B223" s="1" t="s">
        <v>6</v>
      </c>
    </row>
  </sheetData>
  <dataValidations count="1">
    <dataValidation type="whole" allowBlank="1" showInputMessage="1" showErrorMessage="1" sqref="E182:E218" xr:uid="{A6FA4D20-2CFB-425F-B2A1-4B456AE439F1}">
      <formula1>0</formula1>
      <formula2>10000000000</formula2>
    </dataValidation>
  </dataValidations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824F-E8F8-4DB7-983B-7D21453E1124}">
  <dimension ref="A1:B9"/>
  <sheetViews>
    <sheetView zoomScale="80" zoomScaleNormal="80" workbookViewId="0">
      <selection activeCell="B2" sqref="B2:B3"/>
    </sheetView>
  </sheetViews>
  <sheetFormatPr baseColWidth="10" defaultRowHeight="15"/>
  <sheetData>
    <row r="1" spans="1:2">
      <c r="A1" t="s">
        <v>19</v>
      </c>
      <c r="B1" s="4" t="s">
        <v>9</v>
      </c>
    </row>
    <row r="2" spans="1:2">
      <c r="A2" s="16" t="s">
        <v>128</v>
      </c>
      <c r="B2" s="4">
        <v>181</v>
      </c>
    </row>
    <row r="3" spans="1:2">
      <c r="A3" s="16" t="s">
        <v>129</v>
      </c>
      <c r="B3" s="4">
        <v>117</v>
      </c>
    </row>
    <row r="5" spans="1:2">
      <c r="A5" s="1" t="s">
        <v>12</v>
      </c>
      <c r="B5" s="1" t="s">
        <v>130</v>
      </c>
    </row>
    <row r="6" spans="1:2">
      <c r="A6" s="1" t="s">
        <v>14</v>
      </c>
      <c r="B6" s="1" t="s">
        <v>215</v>
      </c>
    </row>
    <row r="7" spans="1:2">
      <c r="A7" s="1" t="s">
        <v>5</v>
      </c>
      <c r="B7" s="1" t="s">
        <v>6</v>
      </c>
    </row>
    <row r="9" spans="1:2">
      <c r="A9" t="s">
        <v>10</v>
      </c>
      <c r="B9" t="s">
        <v>18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EB01-ABC3-43E0-88E7-19D3BBE3BAC1}">
  <dimension ref="A1:BN9"/>
  <sheetViews>
    <sheetView zoomScale="80" zoomScaleNormal="80" workbookViewId="0">
      <selection activeCell="A2" sqref="A2"/>
    </sheetView>
  </sheetViews>
  <sheetFormatPr baseColWidth="10" defaultRowHeight="15"/>
  <sheetData>
    <row r="1" spans="1:66">
      <c r="A1" s="6" t="s">
        <v>31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42</v>
      </c>
      <c r="M1" s="6" t="s">
        <v>43</v>
      </c>
      <c r="N1" s="6" t="s">
        <v>44</v>
      </c>
      <c r="O1" s="6" t="s">
        <v>45</v>
      </c>
      <c r="P1" s="6" t="s">
        <v>46</v>
      </c>
      <c r="Q1" s="6" t="s">
        <v>47</v>
      </c>
      <c r="R1" s="6" t="s">
        <v>48</v>
      </c>
      <c r="S1" s="6" t="s">
        <v>49</v>
      </c>
      <c r="T1" s="6" t="s">
        <v>50</v>
      </c>
      <c r="U1" s="6" t="s">
        <v>51</v>
      </c>
      <c r="V1" s="6" t="s">
        <v>52</v>
      </c>
      <c r="W1" s="6" t="s">
        <v>53</v>
      </c>
      <c r="X1" s="6" t="s">
        <v>54</v>
      </c>
      <c r="Y1" s="6" t="s">
        <v>55</v>
      </c>
      <c r="Z1" s="6" t="s">
        <v>56</v>
      </c>
      <c r="AA1" s="6" t="s">
        <v>57</v>
      </c>
      <c r="AB1" s="6" t="s">
        <v>58</v>
      </c>
      <c r="AC1" s="6" t="s">
        <v>59</v>
      </c>
      <c r="AD1" s="6" t="s">
        <v>60</v>
      </c>
      <c r="AE1" s="6" t="s">
        <v>61</v>
      </c>
      <c r="AF1" s="6" t="s">
        <v>62</v>
      </c>
      <c r="AG1" s="6" t="s">
        <v>63</v>
      </c>
      <c r="AH1" s="6" t="s">
        <v>64</v>
      </c>
      <c r="AI1" s="6" t="s">
        <v>65</v>
      </c>
      <c r="AJ1" s="6" t="s">
        <v>66</v>
      </c>
      <c r="AK1" s="6" t="s">
        <v>67</v>
      </c>
      <c r="AL1" s="6" t="s">
        <v>68</v>
      </c>
      <c r="AM1" s="6" t="s">
        <v>69</v>
      </c>
      <c r="AN1" s="6" t="s">
        <v>70</v>
      </c>
      <c r="AO1" s="6" t="s">
        <v>71</v>
      </c>
      <c r="AP1" s="6" t="s">
        <v>72</v>
      </c>
      <c r="AQ1" s="6" t="s">
        <v>73</v>
      </c>
      <c r="AR1" s="6" t="s">
        <v>74</v>
      </c>
      <c r="AS1" s="6" t="s">
        <v>75</v>
      </c>
      <c r="AT1" s="6" t="s">
        <v>76</v>
      </c>
      <c r="AU1" s="6" t="s">
        <v>77</v>
      </c>
      <c r="AV1" s="6" t="s">
        <v>78</v>
      </c>
      <c r="AW1" s="6" t="s">
        <v>160</v>
      </c>
      <c r="AX1" s="6" t="s">
        <v>161</v>
      </c>
      <c r="AY1" s="6" t="s">
        <v>162</v>
      </c>
      <c r="AZ1" s="6" t="s">
        <v>163</v>
      </c>
      <c r="BA1" s="6" t="s">
        <v>164</v>
      </c>
      <c r="BB1" s="6" t="s">
        <v>165</v>
      </c>
      <c r="BC1" s="6" t="s">
        <v>166</v>
      </c>
      <c r="BD1" s="6" t="s">
        <v>167</v>
      </c>
      <c r="BE1" s="6" t="s">
        <v>168</v>
      </c>
      <c r="BF1" s="6" t="s">
        <v>169</v>
      </c>
      <c r="BG1" s="6" t="s">
        <v>170</v>
      </c>
      <c r="BH1" s="6" t="s">
        <v>171</v>
      </c>
      <c r="BI1" s="6" t="s">
        <v>207</v>
      </c>
      <c r="BJ1" s="6" t="s">
        <v>208</v>
      </c>
      <c r="BK1" s="6" t="s">
        <v>209</v>
      </c>
      <c r="BL1" s="6" t="s">
        <v>210</v>
      </c>
      <c r="BM1" s="6" t="s">
        <v>211</v>
      </c>
      <c r="BN1" s="6" t="s">
        <v>212</v>
      </c>
    </row>
    <row r="2" spans="1:66">
      <c r="A2" s="17">
        <v>5</v>
      </c>
      <c r="B2" s="18">
        <v>4</v>
      </c>
      <c r="C2" s="18">
        <v>0</v>
      </c>
      <c r="D2" s="18">
        <v>4</v>
      </c>
      <c r="E2" s="18">
        <v>5</v>
      </c>
      <c r="F2" s="18">
        <v>3</v>
      </c>
      <c r="G2" s="18">
        <v>4</v>
      </c>
      <c r="H2" s="18">
        <v>3</v>
      </c>
      <c r="I2" s="18">
        <v>2</v>
      </c>
      <c r="J2" s="18">
        <v>4</v>
      </c>
      <c r="K2" s="18">
        <v>2</v>
      </c>
      <c r="L2" s="18">
        <v>3</v>
      </c>
      <c r="M2" s="12">
        <v>6</v>
      </c>
      <c r="N2" s="12">
        <v>1</v>
      </c>
      <c r="O2" s="12">
        <v>2</v>
      </c>
      <c r="P2" s="12">
        <v>3</v>
      </c>
      <c r="Q2" s="12">
        <v>2</v>
      </c>
      <c r="R2" s="18">
        <v>0</v>
      </c>
      <c r="S2" s="12">
        <v>5</v>
      </c>
      <c r="T2" s="12">
        <v>2</v>
      </c>
      <c r="U2" s="12">
        <v>3</v>
      </c>
      <c r="V2" s="12">
        <v>3</v>
      </c>
      <c r="W2" s="18">
        <v>0</v>
      </c>
      <c r="X2" s="18">
        <v>5</v>
      </c>
      <c r="Y2" s="12">
        <v>6</v>
      </c>
      <c r="Z2" s="12">
        <v>5</v>
      </c>
      <c r="AA2" s="12">
        <v>6</v>
      </c>
      <c r="AB2" s="12">
        <v>2</v>
      </c>
      <c r="AC2" s="12">
        <v>3</v>
      </c>
      <c r="AD2" s="12">
        <v>1</v>
      </c>
      <c r="AE2" s="12">
        <v>6</v>
      </c>
      <c r="AF2" s="12">
        <v>3</v>
      </c>
      <c r="AG2" s="12">
        <v>6</v>
      </c>
      <c r="AH2" s="12">
        <v>5</v>
      </c>
      <c r="AI2" s="12">
        <v>3</v>
      </c>
      <c r="AJ2" s="12">
        <v>2</v>
      </c>
      <c r="AK2" s="12">
        <v>5</v>
      </c>
      <c r="AL2" s="12">
        <v>7</v>
      </c>
      <c r="AM2" s="12">
        <v>5</v>
      </c>
      <c r="AN2" s="12">
        <v>8</v>
      </c>
      <c r="AO2" s="12">
        <v>4</v>
      </c>
      <c r="AP2" s="12">
        <v>8</v>
      </c>
      <c r="AQ2" s="12">
        <v>7</v>
      </c>
      <c r="AR2" s="12">
        <v>5</v>
      </c>
      <c r="AS2" s="12">
        <v>8</v>
      </c>
      <c r="AT2" s="12">
        <v>7</v>
      </c>
      <c r="AU2" s="12">
        <v>6</v>
      </c>
      <c r="AV2" s="12">
        <v>5</v>
      </c>
      <c r="AW2" s="12">
        <v>6</v>
      </c>
      <c r="AX2" s="12">
        <v>7</v>
      </c>
      <c r="AY2" s="12">
        <v>2</v>
      </c>
      <c r="AZ2" s="12">
        <v>7</v>
      </c>
      <c r="BA2" s="12">
        <v>5</v>
      </c>
      <c r="BB2" s="12">
        <v>8</v>
      </c>
      <c r="BC2" s="12">
        <v>5</v>
      </c>
      <c r="BD2" s="12">
        <v>7</v>
      </c>
      <c r="BE2" s="12">
        <v>4</v>
      </c>
      <c r="BF2" s="12">
        <v>5</v>
      </c>
      <c r="BG2" s="12">
        <v>6</v>
      </c>
      <c r="BH2" s="12">
        <v>5</v>
      </c>
      <c r="BI2" s="29">
        <v>6</v>
      </c>
      <c r="BJ2" s="29">
        <v>7</v>
      </c>
      <c r="BK2" s="29">
        <v>6</v>
      </c>
      <c r="BL2" s="29">
        <v>6</v>
      </c>
      <c r="BM2" s="29">
        <v>6</v>
      </c>
      <c r="BN2" s="29">
        <v>6</v>
      </c>
    </row>
    <row r="4" spans="1:66">
      <c r="A4" s="1" t="s">
        <v>12</v>
      </c>
      <c r="B4" s="1" t="s">
        <v>159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66">
      <c r="A5" s="1" t="s">
        <v>14</v>
      </c>
      <c r="B5" s="1" t="s">
        <v>131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66">
      <c r="A6" s="1" t="s">
        <v>5</v>
      </c>
      <c r="B6" s="5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66">
      <c r="A7" s="1" t="s">
        <v>7</v>
      </c>
      <c r="B7" s="1" t="s">
        <v>21</v>
      </c>
      <c r="C7" s="1"/>
      <c r="D7" s="1"/>
      <c r="E7" s="1"/>
      <c r="F7" s="1"/>
      <c r="G7" s="1"/>
      <c r="H7" s="1"/>
      <c r="I7" s="1"/>
      <c r="J7" s="1"/>
      <c r="K7" s="1"/>
      <c r="L7" s="1"/>
    </row>
    <row r="9" spans="1:66">
      <c r="A9" t="s">
        <v>10</v>
      </c>
      <c r="B9" t="s">
        <v>22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962A-A808-41B3-A523-3FC3DC40CDCD}">
  <dimension ref="A1:K1011"/>
  <sheetViews>
    <sheetView workbookViewId="0">
      <selection activeCell="P26" sqref="P26"/>
    </sheetView>
  </sheetViews>
  <sheetFormatPr baseColWidth="10" defaultColWidth="14.42578125" defaultRowHeight="15" customHeight="1"/>
  <cols>
    <col min="1" max="1" width="7.42578125" customWidth="1"/>
    <col min="2" max="7" width="9.5703125" customWidth="1"/>
    <col min="8" max="8" width="9.140625" customWidth="1"/>
    <col min="9" max="21" width="10.7109375" customWidth="1"/>
  </cols>
  <sheetData>
    <row r="1" spans="1:11">
      <c r="A1" s="20" t="s">
        <v>172</v>
      </c>
      <c r="B1" s="23" t="s">
        <v>174</v>
      </c>
      <c r="C1" s="23" t="s">
        <v>175</v>
      </c>
      <c r="D1" s="24" t="s">
        <v>176</v>
      </c>
      <c r="E1" s="24" t="s">
        <v>177</v>
      </c>
      <c r="F1" s="25" t="s">
        <v>178</v>
      </c>
      <c r="G1" s="28" t="s">
        <v>213</v>
      </c>
      <c r="H1" s="23" t="s">
        <v>4</v>
      </c>
      <c r="K1" s="2"/>
    </row>
    <row r="2" spans="1:11">
      <c r="A2" s="22" t="s">
        <v>179</v>
      </c>
      <c r="D2">
        <v>2</v>
      </c>
      <c r="H2" s="7">
        <f t="shared" ref="H2:H20" si="0">SUM(B2:G2)</f>
        <v>2</v>
      </c>
      <c r="K2" s="19"/>
    </row>
    <row r="3" spans="1:11">
      <c r="A3" s="22" t="s">
        <v>180</v>
      </c>
      <c r="B3">
        <v>2</v>
      </c>
      <c r="C3">
        <v>1</v>
      </c>
      <c r="D3">
        <v>1</v>
      </c>
      <c r="E3">
        <v>2</v>
      </c>
      <c r="F3">
        <v>1</v>
      </c>
      <c r="G3">
        <v>1</v>
      </c>
      <c r="H3" s="7">
        <f t="shared" si="0"/>
        <v>8</v>
      </c>
      <c r="K3" s="19"/>
    </row>
    <row r="4" spans="1:11">
      <c r="A4" s="22" t="s">
        <v>181</v>
      </c>
      <c r="B4">
        <v>2</v>
      </c>
      <c r="D4">
        <v>1</v>
      </c>
      <c r="E4">
        <v>5</v>
      </c>
      <c r="F4">
        <v>2</v>
      </c>
      <c r="G4">
        <v>4</v>
      </c>
      <c r="H4" s="7">
        <f t="shared" si="0"/>
        <v>14</v>
      </c>
      <c r="K4" s="19"/>
    </row>
    <row r="5" spans="1:11">
      <c r="A5" s="22" t="s">
        <v>182</v>
      </c>
      <c r="B5">
        <v>6</v>
      </c>
      <c r="C5">
        <v>4</v>
      </c>
      <c r="D5">
        <v>2</v>
      </c>
      <c r="E5">
        <v>2</v>
      </c>
      <c r="F5">
        <v>7</v>
      </c>
      <c r="G5">
        <v>1</v>
      </c>
      <c r="H5" s="7">
        <f t="shared" si="0"/>
        <v>22</v>
      </c>
      <c r="K5" s="19"/>
    </row>
    <row r="6" spans="1:11">
      <c r="A6" s="22" t="s">
        <v>183</v>
      </c>
      <c r="B6">
        <v>1</v>
      </c>
      <c r="C6">
        <v>1</v>
      </c>
      <c r="D6">
        <v>4</v>
      </c>
      <c r="E6">
        <v>5</v>
      </c>
      <c r="F6">
        <v>2</v>
      </c>
      <c r="H6" s="7">
        <f t="shared" si="0"/>
        <v>13</v>
      </c>
      <c r="K6" s="19"/>
    </row>
    <row r="7" spans="1:11">
      <c r="A7" s="22" t="s">
        <v>184</v>
      </c>
      <c r="B7">
        <v>1</v>
      </c>
      <c r="C7">
        <v>5</v>
      </c>
      <c r="D7">
        <v>3</v>
      </c>
      <c r="E7">
        <v>2</v>
      </c>
      <c r="F7">
        <v>2</v>
      </c>
      <c r="H7" s="7">
        <f t="shared" si="0"/>
        <v>13</v>
      </c>
      <c r="K7" s="19"/>
    </row>
    <row r="8" spans="1:11">
      <c r="A8" s="22" t="s">
        <v>185</v>
      </c>
      <c r="B8">
        <v>1</v>
      </c>
      <c r="C8">
        <v>1</v>
      </c>
      <c r="D8">
        <v>3</v>
      </c>
      <c r="E8">
        <v>6</v>
      </c>
      <c r="F8">
        <v>1</v>
      </c>
      <c r="G8">
        <v>1</v>
      </c>
      <c r="H8" s="7">
        <f t="shared" si="0"/>
        <v>13</v>
      </c>
      <c r="K8" s="19"/>
    </row>
    <row r="9" spans="1:11">
      <c r="A9" s="22" t="s">
        <v>186</v>
      </c>
      <c r="C9">
        <v>2</v>
      </c>
      <c r="D9">
        <v>1</v>
      </c>
      <c r="E9">
        <v>6</v>
      </c>
      <c r="F9">
        <v>5</v>
      </c>
      <c r="G9">
        <v>3</v>
      </c>
      <c r="H9" s="7">
        <f t="shared" si="0"/>
        <v>17</v>
      </c>
      <c r="K9" s="19"/>
    </row>
    <row r="10" spans="1:11">
      <c r="A10" s="22" t="s">
        <v>187</v>
      </c>
      <c r="C10">
        <v>1</v>
      </c>
      <c r="E10">
        <v>2</v>
      </c>
      <c r="F10">
        <v>5</v>
      </c>
      <c r="G10">
        <v>3</v>
      </c>
      <c r="H10" s="7">
        <f t="shared" si="0"/>
        <v>11</v>
      </c>
      <c r="K10" s="19"/>
    </row>
    <row r="11" spans="1:11">
      <c r="A11" s="22" t="s">
        <v>188</v>
      </c>
      <c r="C11">
        <v>1</v>
      </c>
      <c r="D11">
        <v>6</v>
      </c>
      <c r="E11">
        <v>2</v>
      </c>
      <c r="F11">
        <v>1</v>
      </c>
      <c r="G11">
        <v>1</v>
      </c>
      <c r="H11" s="7">
        <f t="shared" si="0"/>
        <v>11</v>
      </c>
      <c r="K11" s="19"/>
    </row>
    <row r="12" spans="1:11">
      <c r="A12" s="22" t="s">
        <v>189</v>
      </c>
      <c r="B12">
        <v>2</v>
      </c>
      <c r="C12">
        <v>1</v>
      </c>
      <c r="D12">
        <v>1</v>
      </c>
      <c r="E12">
        <v>4</v>
      </c>
      <c r="H12" s="7">
        <f t="shared" si="0"/>
        <v>8</v>
      </c>
    </row>
    <row r="13" spans="1:11">
      <c r="A13" s="22" t="s">
        <v>190</v>
      </c>
      <c r="B13">
        <v>2</v>
      </c>
      <c r="C13">
        <v>1</v>
      </c>
      <c r="D13">
        <v>6</v>
      </c>
      <c r="E13">
        <v>2</v>
      </c>
      <c r="F13">
        <v>8</v>
      </c>
      <c r="G13">
        <v>3</v>
      </c>
      <c r="H13" s="7">
        <f t="shared" si="0"/>
        <v>22</v>
      </c>
    </row>
    <row r="14" spans="1:11">
      <c r="A14" s="22" t="s">
        <v>191</v>
      </c>
      <c r="B14">
        <v>2</v>
      </c>
      <c r="D14">
        <v>2</v>
      </c>
      <c r="E14">
        <v>6</v>
      </c>
      <c r="F14">
        <v>1</v>
      </c>
      <c r="G14">
        <v>2</v>
      </c>
      <c r="H14" s="7">
        <f t="shared" si="0"/>
        <v>13</v>
      </c>
    </row>
    <row r="15" spans="1:11">
      <c r="A15" s="22" t="s">
        <v>192</v>
      </c>
      <c r="B15">
        <v>8</v>
      </c>
      <c r="C15">
        <v>3</v>
      </c>
      <c r="D15">
        <v>3</v>
      </c>
      <c r="E15">
        <v>9</v>
      </c>
      <c r="F15">
        <v>8</v>
      </c>
      <c r="G15">
        <v>2</v>
      </c>
      <c r="H15" s="7">
        <f t="shared" si="0"/>
        <v>33</v>
      </c>
    </row>
    <row r="16" spans="1:11">
      <c r="A16" s="22" t="s">
        <v>193</v>
      </c>
      <c r="B16">
        <v>1</v>
      </c>
      <c r="C16">
        <v>1</v>
      </c>
      <c r="E16">
        <v>4</v>
      </c>
      <c r="F16">
        <v>8</v>
      </c>
      <c r="G16">
        <v>5</v>
      </c>
      <c r="H16" s="7">
        <f t="shared" si="0"/>
        <v>19</v>
      </c>
    </row>
    <row r="17" spans="1:8">
      <c r="A17" s="22" t="s">
        <v>194</v>
      </c>
      <c r="B17">
        <v>5</v>
      </c>
      <c r="C17">
        <v>1</v>
      </c>
      <c r="D17">
        <v>2</v>
      </c>
      <c r="E17">
        <v>5</v>
      </c>
      <c r="F17">
        <v>4</v>
      </c>
      <c r="G17">
        <v>3</v>
      </c>
      <c r="H17" s="7">
        <f t="shared" si="0"/>
        <v>20</v>
      </c>
    </row>
    <row r="18" spans="1:8">
      <c r="A18" s="22" t="s">
        <v>195</v>
      </c>
      <c r="B18">
        <v>4</v>
      </c>
      <c r="C18">
        <v>5</v>
      </c>
      <c r="D18">
        <v>4</v>
      </c>
      <c r="E18">
        <v>10</v>
      </c>
      <c r="F18">
        <v>8</v>
      </c>
      <c r="G18">
        <v>4</v>
      </c>
      <c r="H18" s="7">
        <f t="shared" si="0"/>
        <v>35</v>
      </c>
    </row>
    <row r="19" spans="1:8">
      <c r="A19" s="22" t="s">
        <v>196</v>
      </c>
      <c r="B19">
        <v>2</v>
      </c>
      <c r="C19">
        <v>4</v>
      </c>
      <c r="D19">
        <v>7</v>
      </c>
      <c r="E19">
        <v>3</v>
      </c>
      <c r="F19">
        <v>4</v>
      </c>
      <c r="G19">
        <v>4</v>
      </c>
      <c r="H19" s="7">
        <f t="shared" si="0"/>
        <v>24</v>
      </c>
    </row>
    <row r="20" spans="1:8">
      <c r="A20" s="21" t="s">
        <v>20</v>
      </c>
      <c r="B20" s="10">
        <f t="shared" ref="B20:F20" si="1">SUM(B2:B19)</f>
        <v>39</v>
      </c>
      <c r="C20" s="10">
        <f t="shared" si="1"/>
        <v>32</v>
      </c>
      <c r="D20" s="10">
        <f t="shared" si="1"/>
        <v>48</v>
      </c>
      <c r="E20" s="10">
        <f t="shared" si="1"/>
        <v>75</v>
      </c>
      <c r="F20" s="10">
        <f t="shared" si="1"/>
        <v>67</v>
      </c>
      <c r="G20" s="10">
        <f>SUM(G2:G19)</f>
        <v>37</v>
      </c>
      <c r="H20" s="10">
        <f t="shared" si="0"/>
        <v>298</v>
      </c>
    </row>
    <row r="22" spans="1:8">
      <c r="A22" s="1" t="s">
        <v>0</v>
      </c>
      <c r="B22" s="1" t="s">
        <v>173</v>
      </c>
      <c r="D22" s="1"/>
    </row>
    <row r="23" spans="1:8">
      <c r="A23" s="5" t="s">
        <v>14</v>
      </c>
      <c r="B23" s="1" t="s">
        <v>214</v>
      </c>
      <c r="D23" s="5"/>
    </row>
    <row r="24" spans="1:8">
      <c r="A24" s="1" t="s">
        <v>5</v>
      </c>
      <c r="B24" s="5" t="s">
        <v>27</v>
      </c>
      <c r="D24" s="1"/>
    </row>
    <row r="25" spans="1:8">
      <c r="A25" s="1" t="s">
        <v>7</v>
      </c>
      <c r="B25" s="1" t="s">
        <v>23</v>
      </c>
      <c r="D25" s="1"/>
    </row>
    <row r="26" spans="1:8" ht="15" customHeight="1">
      <c r="A26" s="1"/>
      <c r="B26" s="1"/>
      <c r="D26" s="1"/>
    </row>
    <row r="27" spans="1:8" ht="15" customHeight="1">
      <c r="A27" s="1" t="s">
        <v>10</v>
      </c>
      <c r="B27" s="1" t="s">
        <v>16</v>
      </c>
      <c r="D27" s="1"/>
    </row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pageMargins left="0.7" right="0.7" top="0.75" bottom="0.75" header="0" footer="0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data0</vt:lpstr>
      <vt:lpstr>data1</vt:lpstr>
      <vt:lpstr>data2</vt:lpstr>
      <vt:lpstr>data3</vt:lpstr>
      <vt:lpstr>data4</vt:lpstr>
      <vt:lpstr>data5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Castellanos</dc:creator>
  <cp:lastModifiedBy>RED DE OBSERVATORIOS</cp:lastModifiedBy>
  <dcterms:created xsi:type="dcterms:W3CDTF">2022-08-04T13:33:08Z</dcterms:created>
  <dcterms:modified xsi:type="dcterms:W3CDTF">2025-10-08T16:37:44Z</dcterms:modified>
</cp:coreProperties>
</file>