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8_{355C90A5-7FDE-4F34-8AB7-85895EEADF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  <sheet name="data6" sheetId="14" r:id="rId6"/>
  </sheets>
  <definedNames>
    <definedName name="_xlnm._FilterDatabase" localSheetId="2" hidden="1">data2!$A$1:$E$159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F9" i="14" l="1"/>
  <c r="F8" i="14"/>
  <c r="F7" i="14"/>
  <c r="F6" i="14"/>
  <c r="F5" i="14"/>
  <c r="F4" i="14"/>
  <c r="F3" i="14"/>
  <c r="F2" i="14"/>
  <c r="F12" i="14"/>
  <c r="F11" i="14"/>
  <c r="F10" i="14"/>
  <c r="D13" i="14"/>
  <c r="C13" i="14"/>
  <c r="H13" i="2"/>
  <c r="G13" i="2"/>
  <c r="F13" i="2"/>
  <c r="E13" i="2"/>
  <c r="D13" i="2"/>
  <c r="C13" i="2"/>
  <c r="I7" i="2"/>
  <c r="I6" i="2"/>
  <c r="I5" i="2"/>
  <c r="I4" i="2"/>
  <c r="I3" i="2"/>
  <c r="I12" i="2"/>
  <c r="I11" i="2"/>
  <c r="I10" i="2"/>
  <c r="I9" i="2"/>
  <c r="I8" i="2"/>
  <c r="I2" i="2"/>
  <c r="F13" i="14" l="1"/>
  <c r="I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<sst xmlns="http://schemas.openxmlformats.org/spreadsheetml/2006/main" count="462" uniqueCount="146">
  <si>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</si>
  <si>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</si>
  <si>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</si>
  <si>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</si>
  <si>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</si>
  <si>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</si>
  <si>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</si>
  <si>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</si>
  <si>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</si>
  <si>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</si>
  <si>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</si>
  <si>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</si>
  <si>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</si>
  <si>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</si>
  <si>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</si>
  <si>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</si>
  <si>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</si>
  <si>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</si>
  <si>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</si>
  <si>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</si>
  <si>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</si>
  <si>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</si>
  <si>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</si>
  <si>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</si>
  <si>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</si>
  <si>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</si>
  <si>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</si>
  <si>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</si>
  <si>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</si>
  <si>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</si>
  <si>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Abril</t>
  </si>
  <si>
    <t>2020 Mayo</t>
  </si>
  <si>
    <t>2020 Julio</t>
  </si>
  <si>
    <t>2020 Octubre</t>
  </si>
  <si>
    <t>2020 Noviembre</t>
  </si>
  <si>
    <t>2021 Mayo</t>
  </si>
  <si>
    <t>2021 Junio</t>
  </si>
  <si>
    <t>2021 Julio</t>
  </si>
  <si>
    <t>2021 Agosto</t>
  </si>
  <si>
    <t>2021 Septiembre</t>
  </si>
  <si>
    <t>2021 Octubre</t>
  </si>
  <si>
    <t>2021 Diciembre</t>
  </si>
  <si>
    <t>2022 Enero</t>
  </si>
  <si>
    <t>2022 Febrero</t>
  </si>
  <si>
    <t>2022 marzo</t>
  </si>
  <si>
    <t>2022 Abril</t>
  </si>
  <si>
    <t>2022 Julio</t>
  </si>
  <si>
    <t>2022 Agosto</t>
  </si>
  <si>
    <t>2022 Septiembre</t>
  </si>
  <si>
    <t>2022 Octubre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</si>
  <si>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</si>
  <si>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</si>
  <si>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</si>
  <si>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</si>
  <si>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</si>
  <si>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</si>
  <si>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</si>
  <si>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</si>
  <si>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</si>
  <si>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</si>
  <si>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</si>
  <si>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</si>
  <si>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</si>
  <si>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Ciclo de vida</t>
  </si>
  <si>
    <t>Primera infancia (0 a 5 años)</t>
  </si>
  <si>
    <t>Infancia (6 a 11 años)</t>
  </si>
  <si>
    <t>Adolescencia (12 a 17 años)</t>
  </si>
  <si>
    <t>15001</t>
  </si>
  <si>
    <t>Masculino</t>
  </si>
  <si>
    <t>Femenino</t>
  </si>
  <si>
    <t>15223</t>
  </si>
  <si>
    <t>15299</t>
  </si>
  <si>
    <t>15455</t>
  </si>
  <si>
    <t>Adultez (29 a 59 años)</t>
  </si>
  <si>
    <t>Juventud (18 a 28 años)</t>
  </si>
  <si>
    <t>Vejez (&gt;= 60 años)</t>
  </si>
  <si>
    <t>15022</t>
  </si>
  <si>
    <t>15090</t>
  </si>
  <si>
    <t>15097</t>
  </si>
  <si>
    <t>15185</t>
  </si>
  <si>
    <t>15322</t>
  </si>
  <si>
    <t>15325</t>
  </si>
  <si>
    <t>15425</t>
  </si>
  <si>
    <t>15469</t>
  </si>
  <si>
    <t>15480</t>
  </si>
  <si>
    <t>15667</t>
  </si>
  <si>
    <t>15673</t>
  </si>
  <si>
    <t>15686</t>
  </si>
  <si>
    <t>15761</t>
  </si>
  <si>
    <t>15778</t>
  </si>
  <si>
    <t>15798</t>
  </si>
  <si>
    <t>15810</t>
  </si>
  <si>
    <t>15897</t>
  </si>
  <si>
    <t>Indígena</t>
  </si>
  <si>
    <t>Otro</t>
  </si>
  <si>
    <t>Etnia</t>
  </si>
  <si>
    <t>15104</t>
  </si>
  <si>
    <t>15135</t>
  </si>
  <si>
    <t>15172</t>
  </si>
  <si>
    <t>15183</t>
  </si>
  <si>
    <t>15218</t>
  </si>
  <si>
    <t>15248</t>
  </si>
  <si>
    <t>15511</t>
  </si>
  <si>
    <t>15660</t>
  </si>
  <si>
    <t>15664</t>
  </si>
  <si>
    <t>15753</t>
  </si>
  <si>
    <t>15816</t>
  </si>
  <si>
    <t>Número de casos de Enfermedad de Chagas en Boyacá</t>
  </si>
  <si>
    <t>Número de casos de Enfermedad de Chagas en cada municipio</t>
  </si>
  <si>
    <t>Número de casos de Enfermedad de Chagas por sexo, ciclo de vida, año y municipio</t>
  </si>
  <si>
    <t>Número total de casos de Enfermedad de Chagas distribuídos por Sexo</t>
  </si>
  <si>
    <t>Número de casos por año y mes de Enfermedad de Chagas</t>
  </si>
  <si>
    <t>Número de casos de Enfermedad de Chagas por Etnia</t>
  </si>
  <si>
    <t>Número de casos de Enfermedad de Chagas del 2020 a junio 2025</t>
  </si>
  <si>
    <t>Secretaria de Salud Departamental</t>
  </si>
  <si>
    <t>Número de casos de Enfermedad de Chagas por ciclo de vida 2020 a juni0 2025</t>
  </si>
  <si>
    <t>La gráfica muestra el número de casos de Enfermedad de Chagas por ciclo de vida desde el año 2020 hasta junio 2025</t>
  </si>
  <si>
    <t>Número casos</t>
  </si>
  <si>
    <t>Se presenta la sumatoria total de casos de Enfermedad de Chagas distribuidos por sexo durante el período 2020 a junio 2025</t>
  </si>
  <si>
    <t>Se presenta el número de casos por año y mes de Enfermedad de Chagas desde enero 2020 a junio 2025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</si>
  <si>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</si>
  <si>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</si>
  <si>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</si>
  <si>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</si>
  <si>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</si>
  <si>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</si>
  <si>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</si>
  <si>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</si>
  <si>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</si>
  <si>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</si>
  <si>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</si>
  <si>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</si>
  <si>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2025 Enero</t>
  </si>
  <si>
    <t>2025 Febrero</t>
  </si>
  <si>
    <t>2025 marzo</t>
  </si>
  <si>
    <t>2025 Abril</t>
  </si>
  <si>
    <t>2025 Mayo</t>
  </si>
  <si>
    <t>2025 Junio</t>
  </si>
  <si>
    <t>No reporta</t>
  </si>
  <si>
    <t>La gráfica muestra el número de casos de Enfermedad de Chagas clasificados por Etnia desde el 2020 hasta junio 2025</t>
  </si>
  <si>
    <t>15272</t>
  </si>
  <si>
    <t>15514</t>
  </si>
  <si>
    <t>15533</t>
  </si>
  <si>
    <t>15572</t>
  </si>
  <si>
    <t>15759</t>
  </si>
  <si>
    <t>15806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</si>
</sst>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8" fillId="2" borderId="4" xfId="0" applyFont="1" applyFill="1" applyBorder="1"/>
    <xf numFmtId="0" fontId="8" fillId="2" borderId="2" xfId="0" applyFont="1" applyFill="1" applyBorder="1"/>
    <xf numFmtId="0" fontId="1" fillId="0" borderId="0" xfId="0" applyFont="1"/>
    <xf numFmtId="0" fontId="8" fillId="2" borderId="0" xfId="0" applyFont="1" applyFill="1" applyBorder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CHAGAS </a:t>
            </a:r>
            <a:r>
              <a:rPr lang="es-CO" b="1" baseline="0"/>
              <a:t>POR CICLO DE VIDA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26826793670209625"/>
          <c:y val="7.50117095050467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3">
                  <c:v>2</c:v>
                </c:pt>
                <c:pt idx="6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4">
                  <c:v>2</c:v>
                </c:pt>
                <c:pt idx="6">
                  <c:v>1</c:v>
                </c:pt>
                <c:pt idx="7">
                  <c:v>8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1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22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B-49E2-9184-4A018BF4FE4B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4</c:v>
                </c:pt>
                <c:pt idx="1">
                  <c:v>11</c:v>
                </c:pt>
                <c:pt idx="2">
                  <c:v>3</c:v>
                </c:pt>
                <c:pt idx="3">
                  <c:v>28</c:v>
                </c:pt>
                <c:pt idx="4">
                  <c:v>14</c:v>
                </c:pt>
                <c:pt idx="5">
                  <c:v>15</c:v>
                </c:pt>
                <c:pt idx="6">
                  <c:v>44</c:v>
                </c:pt>
                <c:pt idx="7">
                  <c:v>106</c:v>
                </c:pt>
                <c:pt idx="8">
                  <c:v>26</c:v>
                </c:pt>
                <c:pt idx="9">
                  <c:v>29</c:v>
                </c:pt>
                <c:pt idx="1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B-49E2-9184-4A018BF4FE4B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(&gt;=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data1!$H$2:$H$12</c:f>
              <c:numCache>
                <c:formatCode>General</c:formatCode>
                <c:ptCount val="11"/>
                <c:pt idx="3">
                  <c:v>1</c:v>
                </c:pt>
                <c:pt idx="5">
                  <c:v>1</c:v>
                </c:pt>
                <c:pt idx="6">
                  <c:v>21</c:v>
                </c:pt>
                <c:pt idx="7">
                  <c:v>113</c:v>
                </c:pt>
                <c:pt idx="8">
                  <c:v>52</c:v>
                </c:pt>
                <c:pt idx="9">
                  <c:v>35</c:v>
                </c:pt>
                <c:pt idx="1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B-49E2-9184-4A018BF4F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718623166136561"/>
              <c:y val="0.82427621083369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76671425263E-2"/>
          <c:y val="0.88420023046904761"/>
          <c:w val="0.94599392332857479"/>
          <c:h val="0.11579976953095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CHAGAS POR SEXO 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450</c:v>
                </c:pt>
                <c:pt idx="1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CHAGAS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data4!$A$1:$AY$1</c:f>
              <c:strCache>
                <c:ptCount val="51"/>
                <c:pt idx="0">
                  <c:v>2020 Abril</c:v>
                </c:pt>
                <c:pt idx="1">
                  <c:v>2020 Mayo</c:v>
                </c:pt>
                <c:pt idx="2">
                  <c:v>2020 Julio</c:v>
                </c:pt>
                <c:pt idx="3">
                  <c:v>2020 Octubre</c:v>
                </c:pt>
                <c:pt idx="4">
                  <c:v>2020 Noviembre</c:v>
                </c:pt>
                <c:pt idx="5">
                  <c:v>2021 Mayo</c:v>
                </c:pt>
                <c:pt idx="6">
                  <c:v>2021 Junio</c:v>
                </c:pt>
                <c:pt idx="7">
                  <c:v>2021 Julio</c:v>
                </c:pt>
                <c:pt idx="8">
                  <c:v>2021 Agosto</c:v>
                </c:pt>
                <c:pt idx="9">
                  <c:v>2021 Septiembre</c:v>
                </c:pt>
                <c:pt idx="10">
                  <c:v>2021 Octubre</c:v>
                </c:pt>
                <c:pt idx="11">
                  <c:v>2021 Diciembre</c:v>
                </c:pt>
                <c:pt idx="12">
                  <c:v>2022 Enero</c:v>
                </c:pt>
                <c:pt idx="13">
                  <c:v>2022 Febrero</c:v>
                </c:pt>
                <c:pt idx="14">
                  <c:v>2022 marzo</c:v>
                </c:pt>
                <c:pt idx="15">
                  <c:v>2022 Abril</c:v>
                </c:pt>
                <c:pt idx="16">
                  <c:v>2022 Julio</c:v>
                </c:pt>
                <c:pt idx="17">
                  <c:v>2022 Agosto</c:v>
                </c:pt>
                <c:pt idx="18">
                  <c:v>2022 Septiembre</c:v>
                </c:pt>
                <c:pt idx="19">
                  <c:v>2022 Octubre</c:v>
                </c:pt>
                <c:pt idx="20">
                  <c:v>2022 Diciembre</c:v>
                </c:pt>
                <c:pt idx="21">
                  <c:v>2023 Enero</c:v>
                </c:pt>
                <c:pt idx="22">
                  <c:v>2023 Febrero</c:v>
                </c:pt>
                <c:pt idx="23">
                  <c:v>2023 marzo</c:v>
                </c:pt>
                <c:pt idx="24">
                  <c:v>2023 Abril</c:v>
                </c:pt>
                <c:pt idx="25">
                  <c:v>2023 Mayo</c:v>
                </c:pt>
                <c:pt idx="26">
                  <c:v>2023 Junio</c:v>
                </c:pt>
                <c:pt idx="27">
                  <c:v>2023 Julio</c:v>
                </c:pt>
                <c:pt idx="28">
                  <c:v>2023 Agosto</c:v>
                </c:pt>
                <c:pt idx="29">
                  <c:v>2023 Septiembre</c:v>
                </c:pt>
                <c:pt idx="30">
                  <c:v>2023 Octubre</c:v>
                </c:pt>
                <c:pt idx="31">
                  <c:v>2023 Noviembre</c:v>
                </c:pt>
                <c:pt idx="32">
                  <c:v>2023 Diciembre</c:v>
                </c:pt>
                <c:pt idx="33">
                  <c:v>2024 Enero</c:v>
                </c:pt>
                <c:pt idx="34">
                  <c:v>2024 Febrero</c:v>
                </c:pt>
                <c:pt idx="35">
                  <c:v>2024 marzo</c:v>
                </c:pt>
                <c:pt idx="36">
                  <c:v>2024 Abril</c:v>
                </c:pt>
                <c:pt idx="37">
                  <c:v>2024 Mayo</c:v>
                </c:pt>
                <c:pt idx="38">
                  <c:v>2024 Junio</c:v>
                </c:pt>
                <c:pt idx="39">
                  <c:v>2024 Julio</c:v>
                </c:pt>
                <c:pt idx="40">
                  <c:v>2024 Agosto</c:v>
                </c:pt>
                <c:pt idx="41">
                  <c:v>2024 Septiembre</c:v>
                </c:pt>
                <c:pt idx="42">
                  <c:v>2024 Octubre</c:v>
                </c:pt>
                <c:pt idx="43">
                  <c:v>2024 Noviembre</c:v>
                </c:pt>
                <c:pt idx="44">
                  <c:v>2024 Diciembre</c:v>
                </c:pt>
                <c:pt idx="45">
                  <c:v>2025 Enero</c:v>
                </c:pt>
                <c:pt idx="46">
                  <c:v>2025 Febrero</c:v>
                </c:pt>
                <c:pt idx="47">
                  <c:v>2025 marzo</c:v>
                </c:pt>
                <c:pt idx="48">
                  <c:v>2025 Abril</c:v>
                </c:pt>
                <c:pt idx="49">
                  <c:v>2025 Mayo</c:v>
                </c:pt>
                <c:pt idx="50">
                  <c:v>2025 Junio</c:v>
                </c:pt>
              </c:strCache>
            </c:strRef>
          </c:cat>
          <c:val>
            <c:numRef>
              <c:f>data4!$A$2:$AY$2</c:f>
              <c:numCache>
                <c:formatCode>General</c:formatCode>
                <c:ptCount val="51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18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13</c:v>
                </c:pt>
                <c:pt idx="16">
                  <c:v>1</c:v>
                </c:pt>
                <c:pt idx="17">
                  <c:v>2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19</c:v>
                </c:pt>
                <c:pt idx="23">
                  <c:v>11</c:v>
                </c:pt>
                <c:pt idx="24">
                  <c:v>6</c:v>
                </c:pt>
                <c:pt idx="25">
                  <c:v>13</c:v>
                </c:pt>
                <c:pt idx="26">
                  <c:v>19</c:v>
                </c:pt>
                <c:pt idx="27">
                  <c:v>37</c:v>
                </c:pt>
                <c:pt idx="28">
                  <c:v>34</c:v>
                </c:pt>
                <c:pt idx="29">
                  <c:v>44</c:v>
                </c:pt>
                <c:pt idx="30">
                  <c:v>84</c:v>
                </c:pt>
                <c:pt idx="31">
                  <c:v>38</c:v>
                </c:pt>
                <c:pt idx="32">
                  <c:v>15</c:v>
                </c:pt>
                <c:pt idx="33">
                  <c:v>8</c:v>
                </c:pt>
                <c:pt idx="34">
                  <c:v>7</c:v>
                </c:pt>
                <c:pt idx="35">
                  <c:v>21</c:v>
                </c:pt>
                <c:pt idx="36">
                  <c:v>21</c:v>
                </c:pt>
                <c:pt idx="37">
                  <c:v>14</c:v>
                </c:pt>
                <c:pt idx="38">
                  <c:v>11</c:v>
                </c:pt>
                <c:pt idx="39">
                  <c:v>8</c:v>
                </c:pt>
                <c:pt idx="40">
                  <c:v>12</c:v>
                </c:pt>
                <c:pt idx="41">
                  <c:v>11</c:v>
                </c:pt>
                <c:pt idx="42">
                  <c:v>16</c:v>
                </c:pt>
                <c:pt idx="43">
                  <c:v>17</c:v>
                </c:pt>
                <c:pt idx="44">
                  <c:v>7</c:v>
                </c:pt>
                <c:pt idx="45">
                  <c:v>8</c:v>
                </c:pt>
                <c:pt idx="46">
                  <c:v>11</c:v>
                </c:pt>
                <c:pt idx="47">
                  <c:v>22</c:v>
                </c:pt>
                <c:pt idx="48">
                  <c:v>12</c:v>
                </c:pt>
                <c:pt idx="49">
                  <c:v>12</c:v>
                </c:pt>
                <c:pt idx="5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ENFERMEDAD DE CHAGAS </a:t>
            </a:r>
            <a:r>
              <a:rPr lang="es-CO" sz="1200" b="1" baseline="0"/>
              <a:t>POR ETNIA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9465878560684186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data6!$C$1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data6!$C$2:$C$12</c:f>
              <c:numCache>
                <c:formatCode>General</c:formatCode>
                <c:ptCount val="11"/>
                <c:pt idx="0">
                  <c:v>1</c:v>
                </c:pt>
                <c:pt idx="1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9</c:v>
                </c:pt>
                <c:pt idx="6">
                  <c:v>33</c:v>
                </c:pt>
                <c:pt idx="7">
                  <c:v>119</c:v>
                </c:pt>
                <c:pt idx="8">
                  <c:v>9</c:v>
                </c:pt>
                <c:pt idx="9">
                  <c:v>3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3-403F-BCE2-1CC40EBB8D2A}"/>
            </c:ext>
          </c:extLst>
        </c:ser>
        <c:ser>
          <c:idx val="1"/>
          <c:order val="1"/>
          <c:tx>
            <c:strRef>
              <c:f>data6!$D$1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data6!$D$2:$D$12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21</c:v>
                </c:pt>
                <c:pt idx="4">
                  <c:v>9</c:v>
                </c:pt>
                <c:pt idx="5">
                  <c:v>9</c:v>
                </c:pt>
                <c:pt idx="6">
                  <c:v>39</c:v>
                </c:pt>
                <c:pt idx="7">
                  <c:v>133</c:v>
                </c:pt>
                <c:pt idx="8">
                  <c:v>71</c:v>
                </c:pt>
                <c:pt idx="9">
                  <c:v>68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03-403F-BCE2-1CC40EBB8D2A}"/>
            </c:ext>
          </c:extLst>
        </c:ser>
        <c:ser>
          <c:idx val="2"/>
          <c:order val="2"/>
          <c:tx>
            <c:strRef>
              <c:f>data6!$E$1</c:f>
              <c:strCache>
                <c:ptCount val="1"/>
                <c:pt idx="0">
                  <c:v>No reporta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data6!$E$2:$E$12</c:f>
              <c:numCache>
                <c:formatCode>General</c:formatCode>
                <c:ptCount val="11"/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8-4F4C-893D-E34F636B6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752490718912723"/>
          <c:y val="0.93553319459045825"/>
          <c:w val="0.23747865498212981"/>
          <c:h val="6.130833100903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80961</xdr:colOff>
      <xdr:row>20</xdr:row>
      <xdr:rowOff>185737</xdr:rowOff>
    </xdr:from>
    <xdr:to>
      <xdr:col>8</xdr:col>
      <xdr:colOff>47626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10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FA3E5-64A3-4B1F-8FAE-18946693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24</v>
      </c>
    </row>
    <row r="2" spans="1:2">
      <c r="A2" s="1" t="s">
        <v>14</v>
      </c>
      <c r="B2" s="1" t="s">
        <v>107</v>
      </c>
    </row>
    <row r="3" spans="1:2">
      <c r="A3" s="1" t="s">
        <v>0</v>
      </c>
      <c r="B3" s="1" t="s">
        <v>113</v>
      </c>
    </row>
    <row r="4" spans="1:2">
      <c r="A4" s="1" t="s">
        <v>15</v>
      </c>
      <c r="B4" s="1" t="s">
        <v>25</v>
      </c>
    </row>
    <row r="5" spans="1:2">
      <c r="A5" s="1" t="s">
        <v>1</v>
      </c>
      <c r="B5" s="5" t="s">
        <v>26</v>
      </c>
    </row>
    <row r="6" spans="1:2">
      <c r="A6" t="s">
        <v>2</v>
      </c>
      <c r="B6" s="1" t="s">
        <v>114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4"/>
  <sheetViews>
    <sheetView workbookViewId="0">
      <selection activeCell="K38" sqref="K38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12.42578125" customWidth="1"/>
    <col min="9" max="12" width="9.140625" customWidth="1"/>
    <col min="13" max="25" width="10.7109375" customWidth="1"/>
  </cols>
  <sheetData>
    <row r="1" spans="1:15">
      <c r="A1" s="7" t="s">
        <v>3</v>
      </c>
      <c r="B1" s="7" t="s">
        <v>27</v>
      </c>
      <c r="C1" s="15" t="s">
        <v>64</v>
      </c>
      <c r="D1" s="15" t="s">
        <v>65</v>
      </c>
      <c r="E1" s="15" t="s">
        <v>66</v>
      </c>
      <c r="F1" s="15" t="s">
        <v>74</v>
      </c>
      <c r="G1" s="15" t="s">
        <v>73</v>
      </c>
      <c r="H1" s="15" t="s">
        <v>75</v>
      </c>
      <c r="I1" s="7" t="s">
        <v>4</v>
      </c>
      <c r="O1" s="2"/>
    </row>
    <row r="2" spans="1:15">
      <c r="A2" s="8">
        <v>2020</v>
      </c>
      <c r="B2" s="11" t="s">
        <v>28</v>
      </c>
      <c r="C2" s="9"/>
      <c r="D2" s="9"/>
      <c r="E2" s="9"/>
      <c r="F2" s="9"/>
      <c r="G2" s="9">
        <v>4</v>
      </c>
      <c r="H2" s="9"/>
      <c r="I2" s="9">
        <f t="shared" ref="I2:I13" si="0">SUM(C2:H2)</f>
        <v>4</v>
      </c>
    </row>
    <row r="3" spans="1:15">
      <c r="A3" s="8">
        <v>2020</v>
      </c>
      <c r="B3" s="11" t="s">
        <v>29</v>
      </c>
      <c r="C3" s="9"/>
      <c r="D3" s="9"/>
      <c r="E3" s="9">
        <v>1</v>
      </c>
      <c r="F3" s="9">
        <v>2</v>
      </c>
      <c r="G3" s="9">
        <v>11</v>
      </c>
      <c r="H3" s="9"/>
      <c r="I3" s="9">
        <f t="shared" si="0"/>
        <v>14</v>
      </c>
    </row>
    <row r="4" spans="1:15">
      <c r="A4" s="8">
        <v>2021</v>
      </c>
      <c r="B4" s="11" t="s">
        <v>28</v>
      </c>
      <c r="C4" s="9"/>
      <c r="D4" s="9"/>
      <c r="E4" s="9"/>
      <c r="F4" s="9"/>
      <c r="G4" s="9">
        <v>3</v>
      </c>
      <c r="H4" s="9"/>
      <c r="I4" s="9">
        <f t="shared" si="0"/>
        <v>3</v>
      </c>
    </row>
    <row r="5" spans="1:15">
      <c r="A5" s="8">
        <v>2021</v>
      </c>
      <c r="B5" s="11" t="s">
        <v>29</v>
      </c>
      <c r="C5" s="9">
        <v>2</v>
      </c>
      <c r="D5" s="9"/>
      <c r="E5" s="9">
        <v>2</v>
      </c>
      <c r="F5" s="9">
        <v>2</v>
      </c>
      <c r="G5" s="9">
        <v>28</v>
      </c>
      <c r="H5" s="9">
        <v>1</v>
      </c>
      <c r="I5" s="9">
        <f t="shared" si="0"/>
        <v>35</v>
      </c>
    </row>
    <row r="6" spans="1:15">
      <c r="A6" s="8">
        <v>2022</v>
      </c>
      <c r="B6" s="11" t="s">
        <v>28</v>
      </c>
      <c r="C6" s="9"/>
      <c r="D6" s="9">
        <v>2</v>
      </c>
      <c r="E6" s="9">
        <v>1</v>
      </c>
      <c r="F6" s="9">
        <v>3</v>
      </c>
      <c r="G6" s="9">
        <v>14</v>
      </c>
      <c r="H6" s="9"/>
      <c r="I6" s="9">
        <f t="shared" si="0"/>
        <v>20</v>
      </c>
    </row>
    <row r="7" spans="1:15">
      <c r="A7" s="8">
        <v>2022</v>
      </c>
      <c r="B7" s="11" t="s">
        <v>29</v>
      </c>
      <c r="C7" s="9"/>
      <c r="D7" s="9"/>
      <c r="E7" s="9"/>
      <c r="F7" s="9">
        <v>2</v>
      </c>
      <c r="G7" s="9">
        <v>15</v>
      </c>
      <c r="H7" s="9">
        <v>1</v>
      </c>
      <c r="I7" s="9">
        <f t="shared" si="0"/>
        <v>18</v>
      </c>
    </row>
    <row r="8" spans="1:15">
      <c r="A8" s="8">
        <v>2023</v>
      </c>
      <c r="B8" s="11" t="s">
        <v>28</v>
      </c>
      <c r="C8" s="9">
        <v>2</v>
      </c>
      <c r="D8" s="9">
        <v>1</v>
      </c>
      <c r="E8" s="9">
        <v>1</v>
      </c>
      <c r="F8" s="9">
        <v>3</v>
      </c>
      <c r="G8" s="9">
        <v>44</v>
      </c>
      <c r="H8" s="9">
        <v>21</v>
      </c>
      <c r="I8" s="9">
        <f t="shared" si="0"/>
        <v>72</v>
      </c>
    </row>
    <row r="9" spans="1:15">
      <c r="A9" s="8">
        <v>2023</v>
      </c>
      <c r="B9" s="11" t="s">
        <v>29</v>
      </c>
      <c r="C9" s="9"/>
      <c r="D9" s="9">
        <v>8</v>
      </c>
      <c r="E9" s="9">
        <v>3</v>
      </c>
      <c r="F9" s="9">
        <v>22</v>
      </c>
      <c r="G9" s="9">
        <v>106</v>
      </c>
      <c r="H9" s="9">
        <v>113</v>
      </c>
      <c r="I9" s="9">
        <f t="shared" si="0"/>
        <v>252</v>
      </c>
    </row>
    <row r="10" spans="1:15">
      <c r="A10" s="8">
        <v>2024</v>
      </c>
      <c r="B10" s="11" t="s">
        <v>28</v>
      </c>
      <c r="C10" s="9">
        <v>2</v>
      </c>
      <c r="D10" s="9"/>
      <c r="E10" s="9">
        <v>1</v>
      </c>
      <c r="F10" s="9">
        <v>1</v>
      </c>
      <c r="G10" s="9">
        <v>26</v>
      </c>
      <c r="H10" s="9">
        <v>52</v>
      </c>
      <c r="I10" s="9">
        <f t="shared" si="0"/>
        <v>82</v>
      </c>
    </row>
    <row r="11" spans="1:15">
      <c r="A11" s="8">
        <v>2024</v>
      </c>
      <c r="B11" s="11" t="s">
        <v>29</v>
      </c>
      <c r="C11" s="9">
        <v>1</v>
      </c>
      <c r="D11" s="9">
        <v>2</v>
      </c>
      <c r="E11" s="9">
        <v>1</v>
      </c>
      <c r="F11" s="9">
        <v>3</v>
      </c>
      <c r="G11" s="9">
        <v>29</v>
      </c>
      <c r="H11" s="9">
        <v>35</v>
      </c>
      <c r="I11" s="9">
        <f t="shared" si="0"/>
        <v>71</v>
      </c>
    </row>
    <row r="12" spans="1:15">
      <c r="A12" s="8">
        <v>2025</v>
      </c>
      <c r="B12" s="11" t="s">
        <v>28</v>
      </c>
      <c r="C12" s="9">
        <v>3</v>
      </c>
      <c r="D12" s="9">
        <v>1</v>
      </c>
      <c r="E12" s="9">
        <v>2</v>
      </c>
      <c r="F12" s="9">
        <v>5</v>
      </c>
      <c r="G12" s="9">
        <v>28</v>
      </c>
      <c r="H12" s="9">
        <v>51</v>
      </c>
      <c r="I12" s="9">
        <f t="shared" si="0"/>
        <v>90</v>
      </c>
    </row>
    <row r="13" spans="1:15">
      <c r="A13" s="10" t="s">
        <v>20</v>
      </c>
      <c r="B13" s="10"/>
      <c r="C13" s="9">
        <f t="shared" ref="C13:H13" si="1">SUM(C2:C12)</f>
        <v>10</v>
      </c>
      <c r="D13" s="9">
        <f t="shared" si="1"/>
        <v>14</v>
      </c>
      <c r="E13" s="9">
        <f t="shared" si="1"/>
        <v>12</v>
      </c>
      <c r="F13" s="9">
        <f t="shared" si="1"/>
        <v>43</v>
      </c>
      <c r="G13" s="9">
        <f t="shared" si="1"/>
        <v>308</v>
      </c>
      <c r="H13" s="9">
        <f t="shared" si="1"/>
        <v>274</v>
      </c>
      <c r="I13" s="9">
        <f t="shared" si="0"/>
        <v>661</v>
      </c>
    </row>
    <row r="15" spans="1:15">
      <c r="A15" s="1" t="s">
        <v>0</v>
      </c>
      <c r="B15" s="1" t="s">
        <v>115</v>
      </c>
      <c r="C15" s="1"/>
      <c r="D15" s="1"/>
      <c r="E15" s="1"/>
      <c r="F15" s="1"/>
    </row>
    <row r="16" spans="1:15">
      <c r="A16" s="5" t="s">
        <v>14</v>
      </c>
      <c r="B16" s="1" t="s">
        <v>116</v>
      </c>
      <c r="C16" s="1"/>
      <c r="D16" s="1"/>
      <c r="E16" s="5"/>
      <c r="F16" s="5"/>
    </row>
    <row r="17" spans="1:6">
      <c r="A17" s="1" t="s">
        <v>5</v>
      </c>
      <c r="B17" s="1" t="s">
        <v>117</v>
      </c>
      <c r="C17" s="1"/>
      <c r="D17" s="1"/>
      <c r="E17" s="1"/>
      <c r="F17" s="1"/>
    </row>
    <row r="18" spans="1:6">
      <c r="A18" s="1" t="s">
        <v>7</v>
      </c>
      <c r="B18" s="1" t="s">
        <v>23</v>
      </c>
      <c r="C18" s="1"/>
      <c r="D18" s="1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 t="s">
        <v>10</v>
      </c>
      <c r="B20" s="1" t="s">
        <v>16</v>
      </c>
      <c r="C20" s="1"/>
      <c r="D20" s="1"/>
      <c r="E20" s="1"/>
      <c r="F20" s="1"/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9"/>
  <sheetViews>
    <sheetView topLeftCell="A139" workbookViewId="0">
      <selection activeCell="A163" sqref="A163"/>
    </sheetView>
  </sheetViews>
  <sheetFormatPr baseColWidth="10" defaultColWidth="14.42578125" defaultRowHeight="15" customHeight="1"/>
  <cols>
    <col min="1" max="1" width="11.85546875" style="13" bestFit="1" customWidth="1"/>
    <col min="2" max="2" width="6.85546875" customWidth="1"/>
    <col min="3" max="3" width="17.42578125" customWidth="1"/>
    <col min="4" max="26" width="10.7109375" customWidth="1"/>
  </cols>
  <sheetData>
    <row r="1" spans="1:5">
      <c r="A1" s="18" t="s">
        <v>17</v>
      </c>
      <c r="B1" s="3" t="s">
        <v>3</v>
      </c>
      <c r="C1" s="3" t="s">
        <v>63</v>
      </c>
      <c r="D1" s="3" t="s">
        <v>8</v>
      </c>
      <c r="E1" s="3" t="s">
        <v>9</v>
      </c>
    </row>
    <row r="2" spans="1:5">
      <c r="A2" s="13">
        <v>15368</v>
      </c>
      <c r="B2">
        <v>2024</v>
      </c>
      <c r="C2" t="s">
        <v>74</v>
      </c>
      <c r="D2">
        <v>1</v>
      </c>
    </row>
    <row r="3" spans="1:5">
      <c r="A3" s="13" t="s">
        <v>67</v>
      </c>
      <c r="B3">
        <v>2023</v>
      </c>
      <c r="C3" t="s">
        <v>73</v>
      </c>
      <c r="D3">
        <v>1</v>
      </c>
    </row>
    <row r="4" spans="1:5">
      <c r="A4" s="13" t="s">
        <v>67</v>
      </c>
      <c r="B4">
        <v>2023</v>
      </c>
      <c r="C4" t="s">
        <v>75</v>
      </c>
      <c r="D4">
        <v>1</v>
      </c>
    </row>
    <row r="5" spans="1:5">
      <c r="A5" s="13" t="s">
        <v>67</v>
      </c>
      <c r="B5">
        <v>2024</v>
      </c>
      <c r="C5" t="s">
        <v>73</v>
      </c>
      <c r="D5">
        <v>1</v>
      </c>
    </row>
    <row r="6" spans="1:5">
      <c r="A6" s="13" t="s">
        <v>76</v>
      </c>
      <c r="B6">
        <v>2022</v>
      </c>
      <c r="C6" t="s">
        <v>73</v>
      </c>
      <c r="D6">
        <v>1</v>
      </c>
    </row>
    <row r="7" spans="1:5">
      <c r="A7" s="13" t="s">
        <v>76</v>
      </c>
      <c r="B7">
        <v>2024</v>
      </c>
      <c r="C7" t="s">
        <v>74</v>
      </c>
      <c r="D7">
        <v>1</v>
      </c>
    </row>
    <row r="8" spans="1:5">
      <c r="A8" s="13" t="s">
        <v>76</v>
      </c>
      <c r="B8">
        <v>2025</v>
      </c>
      <c r="C8" t="s">
        <v>73</v>
      </c>
      <c r="D8">
        <v>1</v>
      </c>
    </row>
    <row r="9" spans="1:5">
      <c r="A9" s="13" t="s">
        <v>77</v>
      </c>
      <c r="B9">
        <v>2022</v>
      </c>
      <c r="C9" t="s">
        <v>73</v>
      </c>
      <c r="D9">
        <v>3</v>
      </c>
    </row>
    <row r="10" spans="1:5">
      <c r="A10" s="13" t="s">
        <v>77</v>
      </c>
      <c r="B10">
        <v>2022</v>
      </c>
      <c r="C10" t="s">
        <v>65</v>
      </c>
      <c r="D10">
        <v>1</v>
      </c>
    </row>
    <row r="11" spans="1:5">
      <c r="A11" s="13" t="s">
        <v>77</v>
      </c>
      <c r="B11">
        <v>2023</v>
      </c>
      <c r="C11" t="s">
        <v>73</v>
      </c>
      <c r="D11">
        <v>2</v>
      </c>
    </row>
    <row r="12" spans="1:5">
      <c r="A12" s="13" t="s">
        <v>77</v>
      </c>
      <c r="B12">
        <v>2024</v>
      </c>
      <c r="C12" t="s">
        <v>73</v>
      </c>
      <c r="D12">
        <v>2</v>
      </c>
    </row>
    <row r="13" spans="1:5">
      <c r="A13" s="13" t="s">
        <v>78</v>
      </c>
      <c r="B13">
        <v>2021</v>
      </c>
      <c r="C13" t="s">
        <v>74</v>
      </c>
      <c r="D13">
        <v>1</v>
      </c>
    </row>
    <row r="14" spans="1:5">
      <c r="A14" s="13" t="s">
        <v>78</v>
      </c>
      <c r="B14">
        <v>2021</v>
      </c>
      <c r="C14" t="s">
        <v>64</v>
      </c>
      <c r="D14">
        <v>1</v>
      </c>
    </row>
    <row r="15" spans="1:5">
      <c r="A15" s="13" t="s">
        <v>78</v>
      </c>
      <c r="B15">
        <v>2022</v>
      </c>
      <c r="C15" t="s">
        <v>74</v>
      </c>
      <c r="D15">
        <v>1</v>
      </c>
    </row>
    <row r="16" spans="1:5">
      <c r="A16" s="13" t="s">
        <v>78</v>
      </c>
      <c r="B16">
        <v>2023</v>
      </c>
      <c r="C16" t="s">
        <v>73</v>
      </c>
      <c r="D16">
        <v>1</v>
      </c>
    </row>
    <row r="17" spans="1:4">
      <c r="A17" s="13" t="s">
        <v>78</v>
      </c>
      <c r="B17">
        <v>2025</v>
      </c>
      <c r="C17" t="s">
        <v>73</v>
      </c>
      <c r="D17">
        <v>1</v>
      </c>
    </row>
    <row r="18" spans="1:4">
      <c r="A18" s="13" t="s">
        <v>96</v>
      </c>
      <c r="B18">
        <v>2020</v>
      </c>
      <c r="C18" t="s">
        <v>73</v>
      </c>
      <c r="D18">
        <v>1</v>
      </c>
    </row>
    <row r="19" spans="1:4">
      <c r="A19" s="13" t="s">
        <v>97</v>
      </c>
      <c r="B19">
        <v>2023</v>
      </c>
      <c r="C19" t="s">
        <v>73</v>
      </c>
      <c r="D19">
        <v>1</v>
      </c>
    </row>
    <row r="20" spans="1:4">
      <c r="A20" s="13" t="s">
        <v>98</v>
      </c>
      <c r="B20">
        <v>2023</v>
      </c>
      <c r="C20" t="s">
        <v>75</v>
      </c>
      <c r="D20">
        <v>1</v>
      </c>
    </row>
    <row r="21" spans="1:4">
      <c r="A21" s="13" t="s">
        <v>99</v>
      </c>
      <c r="B21">
        <v>2022</v>
      </c>
      <c r="C21" t="s">
        <v>65</v>
      </c>
      <c r="D21">
        <v>1</v>
      </c>
    </row>
    <row r="22" spans="1:4">
      <c r="A22" s="13" t="s">
        <v>99</v>
      </c>
      <c r="B22">
        <v>2024</v>
      </c>
      <c r="C22" t="s">
        <v>73</v>
      </c>
      <c r="D22">
        <v>1</v>
      </c>
    </row>
    <row r="23" spans="1:4">
      <c r="A23" s="13" t="s">
        <v>79</v>
      </c>
      <c r="B23">
        <v>2021</v>
      </c>
      <c r="C23" t="s">
        <v>73</v>
      </c>
      <c r="D23">
        <v>2</v>
      </c>
    </row>
    <row r="24" spans="1:4">
      <c r="A24" s="13" t="s">
        <v>79</v>
      </c>
      <c r="B24">
        <v>2023</v>
      </c>
      <c r="C24" t="s">
        <v>73</v>
      </c>
      <c r="D24">
        <v>5</v>
      </c>
    </row>
    <row r="25" spans="1:4">
      <c r="A25" s="13" t="s">
        <v>79</v>
      </c>
      <c r="B25">
        <v>2023</v>
      </c>
      <c r="C25" t="s">
        <v>75</v>
      </c>
      <c r="D25">
        <v>2</v>
      </c>
    </row>
    <row r="26" spans="1:4">
      <c r="A26" s="13" t="s">
        <v>79</v>
      </c>
      <c r="B26">
        <v>2024</v>
      </c>
      <c r="C26" t="s">
        <v>73</v>
      </c>
      <c r="D26">
        <v>7</v>
      </c>
    </row>
    <row r="27" spans="1:4">
      <c r="A27" s="13" t="s">
        <v>79</v>
      </c>
      <c r="B27">
        <v>2024</v>
      </c>
      <c r="C27" t="s">
        <v>75</v>
      </c>
      <c r="D27">
        <v>10</v>
      </c>
    </row>
    <row r="28" spans="1:4">
      <c r="A28" s="13" t="s">
        <v>79</v>
      </c>
      <c r="B28">
        <v>2025</v>
      </c>
      <c r="C28" t="s">
        <v>73</v>
      </c>
      <c r="D28">
        <v>2</v>
      </c>
    </row>
    <row r="29" spans="1:4">
      <c r="A29" s="13" t="s">
        <v>79</v>
      </c>
      <c r="B29">
        <v>2025</v>
      </c>
      <c r="C29" t="s">
        <v>64</v>
      </c>
      <c r="D29">
        <v>1</v>
      </c>
    </row>
    <row r="30" spans="1:4">
      <c r="A30" s="13" t="s">
        <v>79</v>
      </c>
      <c r="B30">
        <v>2025</v>
      </c>
      <c r="C30" t="s">
        <v>75</v>
      </c>
      <c r="D30">
        <v>6</v>
      </c>
    </row>
    <row r="31" spans="1:4">
      <c r="A31" s="13" t="s">
        <v>100</v>
      </c>
      <c r="B31">
        <v>2021</v>
      </c>
      <c r="C31" t="s">
        <v>73</v>
      </c>
      <c r="D31">
        <v>2</v>
      </c>
    </row>
    <row r="32" spans="1:4">
      <c r="A32" s="13" t="s">
        <v>100</v>
      </c>
      <c r="B32">
        <v>2023</v>
      </c>
      <c r="C32" t="s">
        <v>73</v>
      </c>
      <c r="D32">
        <v>2</v>
      </c>
    </row>
    <row r="33" spans="1:4">
      <c r="A33" s="13" t="s">
        <v>100</v>
      </c>
      <c r="B33">
        <v>2023</v>
      </c>
      <c r="C33" t="s">
        <v>74</v>
      </c>
      <c r="D33">
        <v>1</v>
      </c>
    </row>
    <row r="34" spans="1:4">
      <c r="A34" s="13" t="s">
        <v>100</v>
      </c>
      <c r="B34">
        <v>2023</v>
      </c>
      <c r="C34" t="s">
        <v>75</v>
      </c>
      <c r="D34">
        <v>1</v>
      </c>
    </row>
    <row r="35" spans="1:4">
      <c r="A35" s="13" t="s">
        <v>100</v>
      </c>
      <c r="B35">
        <v>2024</v>
      </c>
      <c r="C35" t="s">
        <v>73</v>
      </c>
      <c r="D35">
        <v>1</v>
      </c>
    </row>
    <row r="36" spans="1:4">
      <c r="A36" s="13" t="s">
        <v>100</v>
      </c>
      <c r="B36">
        <v>2025</v>
      </c>
      <c r="C36" t="s">
        <v>73</v>
      </c>
      <c r="D36">
        <v>1</v>
      </c>
    </row>
    <row r="37" spans="1:4">
      <c r="A37" s="13" t="s">
        <v>70</v>
      </c>
      <c r="B37">
        <v>2020</v>
      </c>
      <c r="C37" t="s">
        <v>73</v>
      </c>
      <c r="D37">
        <v>11</v>
      </c>
    </row>
    <row r="38" spans="1:4">
      <c r="A38" s="13" t="s">
        <v>70</v>
      </c>
      <c r="B38">
        <v>2020</v>
      </c>
      <c r="C38" t="s">
        <v>74</v>
      </c>
      <c r="D38">
        <v>2</v>
      </c>
    </row>
    <row r="39" spans="1:4">
      <c r="A39" s="13" t="s">
        <v>70</v>
      </c>
      <c r="B39">
        <v>2021</v>
      </c>
      <c r="C39" t="s">
        <v>66</v>
      </c>
      <c r="D39">
        <v>2</v>
      </c>
    </row>
    <row r="40" spans="1:4">
      <c r="A40" s="13" t="s">
        <v>70</v>
      </c>
      <c r="B40">
        <v>2021</v>
      </c>
      <c r="C40" t="s">
        <v>73</v>
      </c>
      <c r="D40">
        <v>14</v>
      </c>
    </row>
    <row r="41" spans="1:4">
      <c r="A41" s="13" t="s">
        <v>70</v>
      </c>
      <c r="B41">
        <v>2021</v>
      </c>
      <c r="C41" t="s">
        <v>74</v>
      </c>
      <c r="D41">
        <v>1</v>
      </c>
    </row>
    <row r="42" spans="1:4">
      <c r="A42" s="13" t="s">
        <v>70</v>
      </c>
      <c r="B42">
        <v>2021</v>
      </c>
      <c r="C42" t="s">
        <v>64</v>
      </c>
      <c r="D42">
        <v>1</v>
      </c>
    </row>
    <row r="43" spans="1:4">
      <c r="A43" s="13" t="s">
        <v>70</v>
      </c>
      <c r="B43">
        <v>2021</v>
      </c>
      <c r="C43" t="s">
        <v>75</v>
      </c>
      <c r="D43">
        <v>1</v>
      </c>
    </row>
    <row r="44" spans="1:4">
      <c r="A44" s="13" t="s">
        <v>70</v>
      </c>
      <c r="B44">
        <v>2022</v>
      </c>
      <c r="C44" t="s">
        <v>66</v>
      </c>
      <c r="D44">
        <v>1</v>
      </c>
    </row>
    <row r="45" spans="1:4">
      <c r="A45" s="13" t="s">
        <v>70</v>
      </c>
      <c r="B45">
        <v>2022</v>
      </c>
      <c r="C45" t="s">
        <v>73</v>
      </c>
      <c r="D45">
        <v>17</v>
      </c>
    </row>
    <row r="46" spans="1:4">
      <c r="A46" s="13" t="s">
        <v>70</v>
      </c>
      <c r="B46">
        <v>2022</v>
      </c>
      <c r="C46" t="s">
        <v>74</v>
      </c>
      <c r="D46">
        <v>2</v>
      </c>
    </row>
    <row r="47" spans="1:4">
      <c r="A47" s="13" t="s">
        <v>70</v>
      </c>
      <c r="B47">
        <v>2022</v>
      </c>
      <c r="C47" t="s">
        <v>75</v>
      </c>
      <c r="D47">
        <v>1</v>
      </c>
    </row>
    <row r="48" spans="1:4">
      <c r="A48" s="13" t="s">
        <v>70</v>
      </c>
      <c r="B48">
        <v>2023</v>
      </c>
      <c r="C48" t="s">
        <v>66</v>
      </c>
      <c r="D48">
        <v>4</v>
      </c>
    </row>
    <row r="49" spans="1:4">
      <c r="A49" s="13" t="s">
        <v>70</v>
      </c>
      <c r="B49">
        <v>2023</v>
      </c>
      <c r="C49" t="s">
        <v>73</v>
      </c>
      <c r="D49">
        <v>101</v>
      </c>
    </row>
    <row r="50" spans="1:4">
      <c r="A50" s="13" t="s">
        <v>70</v>
      </c>
      <c r="B50">
        <v>2023</v>
      </c>
      <c r="C50" t="s">
        <v>65</v>
      </c>
      <c r="D50">
        <v>9</v>
      </c>
    </row>
    <row r="51" spans="1:4">
      <c r="A51" s="13" t="s">
        <v>70</v>
      </c>
      <c r="B51">
        <v>2023</v>
      </c>
      <c r="C51" t="s">
        <v>74</v>
      </c>
      <c r="D51">
        <v>22</v>
      </c>
    </row>
    <row r="52" spans="1:4">
      <c r="A52" s="13" t="s">
        <v>70</v>
      </c>
      <c r="B52">
        <v>2023</v>
      </c>
      <c r="C52" t="s">
        <v>64</v>
      </c>
      <c r="D52">
        <v>2</v>
      </c>
    </row>
    <row r="53" spans="1:4">
      <c r="A53" s="13" t="s">
        <v>70</v>
      </c>
      <c r="B53">
        <v>2023</v>
      </c>
      <c r="C53" t="s">
        <v>75</v>
      </c>
      <c r="D53">
        <v>30</v>
      </c>
    </row>
    <row r="54" spans="1:4">
      <c r="A54" s="13" t="s">
        <v>70</v>
      </c>
      <c r="B54">
        <v>2024</v>
      </c>
      <c r="C54" t="s">
        <v>66</v>
      </c>
      <c r="D54">
        <v>2</v>
      </c>
    </row>
    <row r="55" spans="1:4">
      <c r="A55" s="13" t="s">
        <v>70</v>
      </c>
      <c r="B55">
        <v>2024</v>
      </c>
      <c r="C55" t="s">
        <v>73</v>
      </c>
      <c r="D55">
        <v>6</v>
      </c>
    </row>
    <row r="56" spans="1:4">
      <c r="A56" s="13" t="s">
        <v>70</v>
      </c>
      <c r="B56">
        <v>2024</v>
      </c>
      <c r="C56" t="s">
        <v>74</v>
      </c>
      <c r="D56">
        <v>2</v>
      </c>
    </row>
    <row r="57" spans="1:4">
      <c r="A57" s="13" t="s">
        <v>70</v>
      </c>
      <c r="B57">
        <v>2024</v>
      </c>
      <c r="C57" t="s">
        <v>64</v>
      </c>
      <c r="D57">
        <v>2</v>
      </c>
    </row>
    <row r="58" spans="1:4">
      <c r="A58" s="13" t="s">
        <v>70</v>
      </c>
      <c r="B58">
        <v>2024</v>
      </c>
      <c r="C58" t="s">
        <v>75</v>
      </c>
      <c r="D58">
        <v>2</v>
      </c>
    </row>
    <row r="59" spans="1:4">
      <c r="A59" s="13" t="s">
        <v>70</v>
      </c>
      <c r="B59">
        <v>2025</v>
      </c>
      <c r="C59" t="s">
        <v>66</v>
      </c>
      <c r="D59">
        <v>2</v>
      </c>
    </row>
    <row r="60" spans="1:4">
      <c r="A60" s="13" t="s">
        <v>70</v>
      </c>
      <c r="B60">
        <v>2025</v>
      </c>
      <c r="C60" t="s">
        <v>73</v>
      </c>
      <c r="D60">
        <v>10</v>
      </c>
    </row>
    <row r="61" spans="1:4">
      <c r="A61" s="13" t="s">
        <v>70</v>
      </c>
      <c r="B61">
        <v>2025</v>
      </c>
      <c r="C61" t="s">
        <v>74</v>
      </c>
      <c r="D61">
        <v>3</v>
      </c>
    </row>
    <row r="62" spans="1:4">
      <c r="A62" s="13" t="s">
        <v>70</v>
      </c>
      <c r="B62">
        <v>2025</v>
      </c>
      <c r="C62" t="s">
        <v>64</v>
      </c>
      <c r="D62">
        <v>1</v>
      </c>
    </row>
    <row r="63" spans="1:4">
      <c r="A63" s="13" t="s">
        <v>101</v>
      </c>
      <c r="B63">
        <v>2023</v>
      </c>
      <c r="C63" t="s">
        <v>75</v>
      </c>
      <c r="D63">
        <v>1</v>
      </c>
    </row>
    <row r="64" spans="1:4">
      <c r="A64" s="13" t="s">
        <v>101</v>
      </c>
      <c r="B64">
        <v>2025</v>
      </c>
      <c r="C64" t="s">
        <v>73</v>
      </c>
      <c r="D64">
        <v>1</v>
      </c>
    </row>
    <row r="65" spans="1:4">
      <c r="A65" s="13" t="s">
        <v>140</v>
      </c>
      <c r="B65">
        <v>2024</v>
      </c>
      <c r="C65" t="s">
        <v>73</v>
      </c>
      <c r="D65">
        <v>1</v>
      </c>
    </row>
    <row r="66" spans="1:4">
      <c r="A66" s="13" t="s">
        <v>71</v>
      </c>
      <c r="B66">
        <v>2021</v>
      </c>
      <c r="C66" t="s">
        <v>73</v>
      </c>
      <c r="D66">
        <v>1</v>
      </c>
    </row>
    <row r="67" spans="1:4">
      <c r="A67" s="13" t="s">
        <v>71</v>
      </c>
      <c r="B67">
        <v>2023</v>
      </c>
      <c r="C67" t="s">
        <v>73</v>
      </c>
      <c r="D67">
        <v>3</v>
      </c>
    </row>
    <row r="68" spans="1:4">
      <c r="A68" s="13" t="s">
        <v>71</v>
      </c>
      <c r="B68">
        <v>2023</v>
      </c>
      <c r="C68" t="s">
        <v>75</v>
      </c>
      <c r="D68">
        <v>6</v>
      </c>
    </row>
    <row r="69" spans="1:4">
      <c r="A69" s="13" t="s">
        <v>71</v>
      </c>
      <c r="B69">
        <v>2024</v>
      </c>
      <c r="C69" t="s">
        <v>75</v>
      </c>
      <c r="D69">
        <v>3</v>
      </c>
    </row>
    <row r="70" spans="1:4">
      <c r="A70" s="13" t="s">
        <v>80</v>
      </c>
      <c r="B70">
        <v>2021</v>
      </c>
      <c r="C70" t="s">
        <v>73</v>
      </c>
      <c r="D70">
        <v>1</v>
      </c>
    </row>
    <row r="71" spans="1:4">
      <c r="A71" s="13" t="s">
        <v>80</v>
      </c>
      <c r="B71">
        <v>2023</v>
      </c>
      <c r="C71" t="s">
        <v>75</v>
      </c>
      <c r="D71">
        <v>1</v>
      </c>
    </row>
    <row r="72" spans="1:4">
      <c r="A72" s="13" t="s">
        <v>80</v>
      </c>
      <c r="B72">
        <v>2024</v>
      </c>
      <c r="C72" t="s">
        <v>73</v>
      </c>
      <c r="D72">
        <v>3</v>
      </c>
    </row>
    <row r="73" spans="1:4">
      <c r="A73" s="13" t="s">
        <v>80</v>
      </c>
      <c r="B73">
        <v>2024</v>
      </c>
      <c r="C73" t="s">
        <v>75</v>
      </c>
      <c r="D73">
        <v>9</v>
      </c>
    </row>
    <row r="74" spans="1:4">
      <c r="A74" s="13" t="s">
        <v>80</v>
      </c>
      <c r="B74">
        <v>2025</v>
      </c>
      <c r="C74" t="s">
        <v>75</v>
      </c>
      <c r="D74">
        <v>5</v>
      </c>
    </row>
    <row r="75" spans="1:4">
      <c r="A75" s="13" t="s">
        <v>81</v>
      </c>
      <c r="B75">
        <v>2023</v>
      </c>
      <c r="C75" t="s">
        <v>75</v>
      </c>
      <c r="D75">
        <v>1</v>
      </c>
    </row>
    <row r="76" spans="1:4">
      <c r="A76" s="13" t="s">
        <v>81</v>
      </c>
      <c r="B76">
        <v>2025</v>
      </c>
      <c r="C76" t="s">
        <v>75</v>
      </c>
      <c r="D76">
        <v>1</v>
      </c>
    </row>
    <row r="77" spans="1:4">
      <c r="A77" s="13" t="s">
        <v>82</v>
      </c>
      <c r="B77">
        <v>2020</v>
      </c>
      <c r="C77" t="s">
        <v>66</v>
      </c>
      <c r="D77">
        <v>1</v>
      </c>
    </row>
    <row r="78" spans="1:4">
      <c r="A78" s="13" t="s">
        <v>82</v>
      </c>
      <c r="B78">
        <v>2024</v>
      </c>
      <c r="C78" t="s">
        <v>73</v>
      </c>
      <c r="D78">
        <v>1</v>
      </c>
    </row>
    <row r="79" spans="1:4">
      <c r="A79" s="13" t="s">
        <v>72</v>
      </c>
      <c r="B79">
        <v>2020</v>
      </c>
      <c r="C79" t="s">
        <v>73</v>
      </c>
      <c r="D79">
        <v>1</v>
      </c>
    </row>
    <row r="80" spans="1:4">
      <c r="A80" s="13" t="s">
        <v>72</v>
      </c>
      <c r="B80">
        <v>2024</v>
      </c>
      <c r="C80" t="s">
        <v>73</v>
      </c>
      <c r="D80">
        <v>5</v>
      </c>
    </row>
    <row r="81" spans="1:4">
      <c r="A81" s="13" t="s">
        <v>72</v>
      </c>
      <c r="B81">
        <v>2024</v>
      </c>
      <c r="C81" t="s">
        <v>75</v>
      </c>
      <c r="D81">
        <v>13</v>
      </c>
    </row>
    <row r="82" spans="1:4">
      <c r="A82" s="13" t="s">
        <v>72</v>
      </c>
      <c r="B82">
        <v>2025</v>
      </c>
      <c r="C82" t="s">
        <v>73</v>
      </c>
      <c r="D82">
        <v>1</v>
      </c>
    </row>
    <row r="83" spans="1:4">
      <c r="A83" s="13" t="s">
        <v>72</v>
      </c>
      <c r="B83">
        <v>2025</v>
      </c>
      <c r="C83" t="s">
        <v>75</v>
      </c>
      <c r="D83">
        <v>4</v>
      </c>
    </row>
    <row r="84" spans="1:4">
      <c r="A84" s="13" t="s">
        <v>83</v>
      </c>
      <c r="B84">
        <v>2021</v>
      </c>
      <c r="C84" t="s">
        <v>73</v>
      </c>
      <c r="D84">
        <v>4</v>
      </c>
    </row>
    <row r="85" spans="1:4">
      <c r="A85" s="13" t="s">
        <v>83</v>
      </c>
      <c r="B85">
        <v>2022</v>
      </c>
      <c r="C85" t="s">
        <v>73</v>
      </c>
      <c r="D85">
        <v>3</v>
      </c>
    </row>
    <row r="86" spans="1:4">
      <c r="A86" s="13" t="s">
        <v>83</v>
      </c>
      <c r="B86">
        <v>2022</v>
      </c>
      <c r="C86" t="s">
        <v>74</v>
      </c>
      <c r="D86">
        <v>1</v>
      </c>
    </row>
    <row r="87" spans="1:4">
      <c r="A87" s="13" t="s">
        <v>83</v>
      </c>
      <c r="B87">
        <v>2023</v>
      </c>
      <c r="C87" t="s">
        <v>73</v>
      </c>
      <c r="D87">
        <v>19</v>
      </c>
    </row>
    <row r="88" spans="1:4">
      <c r="A88" s="13" t="s">
        <v>83</v>
      </c>
      <c r="B88">
        <v>2023</v>
      </c>
      <c r="C88" t="s">
        <v>74</v>
      </c>
      <c r="D88">
        <v>1</v>
      </c>
    </row>
    <row r="89" spans="1:4">
      <c r="A89" s="13" t="s">
        <v>83</v>
      </c>
      <c r="B89">
        <v>2023</v>
      </c>
      <c r="C89" t="s">
        <v>75</v>
      </c>
      <c r="D89">
        <v>66</v>
      </c>
    </row>
    <row r="90" spans="1:4">
      <c r="A90" s="13" t="s">
        <v>83</v>
      </c>
      <c r="B90">
        <v>2024</v>
      </c>
      <c r="C90" t="s">
        <v>73</v>
      </c>
      <c r="D90">
        <v>10</v>
      </c>
    </row>
    <row r="91" spans="1:4">
      <c r="A91" s="13" t="s">
        <v>83</v>
      </c>
      <c r="B91">
        <v>2024</v>
      </c>
      <c r="C91" t="s">
        <v>75</v>
      </c>
      <c r="D91">
        <v>36</v>
      </c>
    </row>
    <row r="92" spans="1:4">
      <c r="A92" s="13" t="s">
        <v>83</v>
      </c>
      <c r="B92">
        <v>2025</v>
      </c>
      <c r="C92" t="s">
        <v>73</v>
      </c>
      <c r="D92">
        <v>5</v>
      </c>
    </row>
    <row r="93" spans="1:4">
      <c r="A93" s="13" t="s">
        <v>83</v>
      </c>
      <c r="B93">
        <v>2025</v>
      </c>
      <c r="C93" t="s">
        <v>75</v>
      </c>
      <c r="D93">
        <v>23</v>
      </c>
    </row>
    <row r="94" spans="1:4">
      <c r="A94" s="13" t="s">
        <v>84</v>
      </c>
      <c r="B94">
        <v>2022</v>
      </c>
      <c r="C94" t="s">
        <v>73</v>
      </c>
      <c r="D94">
        <v>1</v>
      </c>
    </row>
    <row r="95" spans="1:4">
      <c r="A95" s="13" t="s">
        <v>84</v>
      </c>
      <c r="B95">
        <v>2023</v>
      </c>
      <c r="C95" t="s">
        <v>75</v>
      </c>
      <c r="D95">
        <v>1</v>
      </c>
    </row>
    <row r="96" spans="1:4">
      <c r="A96" s="13" t="s">
        <v>102</v>
      </c>
      <c r="B96">
        <v>2023</v>
      </c>
      <c r="C96" t="s">
        <v>75</v>
      </c>
      <c r="D96">
        <v>1</v>
      </c>
    </row>
    <row r="97" spans="1:4">
      <c r="A97" s="13" t="s">
        <v>141</v>
      </c>
      <c r="B97">
        <v>2024</v>
      </c>
      <c r="C97" t="s">
        <v>75</v>
      </c>
      <c r="D97">
        <v>1</v>
      </c>
    </row>
    <row r="98" spans="1:4">
      <c r="A98" s="13" t="s">
        <v>141</v>
      </c>
      <c r="B98">
        <v>2025</v>
      </c>
      <c r="C98" t="s">
        <v>73</v>
      </c>
      <c r="D98">
        <v>1</v>
      </c>
    </row>
    <row r="99" spans="1:4">
      <c r="A99" s="13" t="s">
        <v>141</v>
      </c>
      <c r="B99">
        <v>2025</v>
      </c>
      <c r="C99" t="s">
        <v>75</v>
      </c>
      <c r="D99">
        <v>2</v>
      </c>
    </row>
    <row r="100" spans="1:4">
      <c r="A100" s="13" t="s">
        <v>142</v>
      </c>
      <c r="B100">
        <v>2025</v>
      </c>
      <c r="C100" t="s">
        <v>73</v>
      </c>
      <c r="D100">
        <v>1</v>
      </c>
    </row>
    <row r="101" spans="1:4">
      <c r="A101" s="13" t="s">
        <v>143</v>
      </c>
      <c r="B101">
        <v>2024</v>
      </c>
      <c r="C101" t="s">
        <v>73</v>
      </c>
      <c r="D101">
        <v>1</v>
      </c>
    </row>
    <row r="102" spans="1:4">
      <c r="A102" s="13" t="s">
        <v>143</v>
      </c>
      <c r="B102">
        <v>2024</v>
      </c>
      <c r="C102" t="s">
        <v>65</v>
      </c>
      <c r="D102">
        <v>2</v>
      </c>
    </row>
    <row r="103" spans="1:4">
      <c r="A103" s="13" t="s">
        <v>143</v>
      </c>
      <c r="B103">
        <v>2024</v>
      </c>
      <c r="C103" t="s">
        <v>64</v>
      </c>
      <c r="D103">
        <v>1</v>
      </c>
    </row>
    <row r="104" spans="1:4">
      <c r="A104" s="13" t="s">
        <v>143</v>
      </c>
      <c r="B104">
        <v>2025</v>
      </c>
      <c r="C104" t="s">
        <v>64</v>
      </c>
      <c r="D104">
        <v>1</v>
      </c>
    </row>
    <row r="105" spans="1:4">
      <c r="A105" s="13" t="s">
        <v>103</v>
      </c>
      <c r="B105">
        <v>2022</v>
      </c>
      <c r="C105" s="16" t="s">
        <v>73</v>
      </c>
      <c r="D105" s="16">
        <v>1</v>
      </c>
    </row>
    <row r="106" spans="1:4">
      <c r="A106" s="13" t="s">
        <v>103</v>
      </c>
      <c r="B106">
        <v>2023</v>
      </c>
      <c r="C106" s="16" t="s">
        <v>75</v>
      </c>
      <c r="D106" s="16">
        <v>1</v>
      </c>
    </row>
    <row r="107" spans="1:4">
      <c r="A107" s="13" t="s">
        <v>104</v>
      </c>
      <c r="B107">
        <v>2023</v>
      </c>
      <c r="C107" s="16" t="s">
        <v>73</v>
      </c>
      <c r="D107" s="16">
        <v>7</v>
      </c>
    </row>
    <row r="108" spans="1:4">
      <c r="A108" s="13" t="s">
        <v>104</v>
      </c>
      <c r="B108">
        <v>2023</v>
      </c>
      <c r="C108" s="16" t="s">
        <v>75</v>
      </c>
      <c r="D108" s="16">
        <v>6</v>
      </c>
    </row>
    <row r="109" spans="1:4">
      <c r="A109" s="13" t="s">
        <v>104</v>
      </c>
      <c r="B109">
        <v>2024</v>
      </c>
      <c r="C109" s="16" t="s">
        <v>73</v>
      </c>
      <c r="D109" s="16">
        <v>1</v>
      </c>
    </row>
    <row r="110" spans="1:4">
      <c r="A110" s="13" t="s">
        <v>104</v>
      </c>
      <c r="B110">
        <v>2024</v>
      </c>
      <c r="C110" s="16" t="s">
        <v>75</v>
      </c>
      <c r="D110" s="16">
        <v>3</v>
      </c>
    </row>
    <row r="111" spans="1:4">
      <c r="A111" s="13" t="s">
        <v>104</v>
      </c>
      <c r="B111">
        <v>2025</v>
      </c>
      <c r="C111" s="16" t="s">
        <v>75</v>
      </c>
      <c r="D111" s="16">
        <v>1</v>
      </c>
    </row>
    <row r="112" spans="1:4">
      <c r="A112" s="13" t="s">
        <v>85</v>
      </c>
      <c r="B112">
        <v>2023</v>
      </c>
      <c r="C112" s="16" t="s">
        <v>73</v>
      </c>
      <c r="D112" s="16">
        <v>1</v>
      </c>
    </row>
    <row r="113" spans="1:4">
      <c r="A113" s="13" t="s">
        <v>85</v>
      </c>
      <c r="B113">
        <v>2024</v>
      </c>
      <c r="C113" s="16" t="s">
        <v>73</v>
      </c>
      <c r="D113" s="16">
        <v>2</v>
      </c>
    </row>
    <row r="114" spans="1:4">
      <c r="A114" s="13" t="s">
        <v>85</v>
      </c>
      <c r="B114">
        <v>2024</v>
      </c>
      <c r="C114" s="16" t="s">
        <v>75</v>
      </c>
      <c r="D114" s="16">
        <v>1</v>
      </c>
    </row>
    <row r="115" spans="1:4">
      <c r="A115" s="13" t="s">
        <v>86</v>
      </c>
      <c r="B115">
        <v>2020</v>
      </c>
      <c r="C115" s="16" t="s">
        <v>73</v>
      </c>
      <c r="D115" s="16">
        <v>2</v>
      </c>
    </row>
    <row r="116" spans="1:4">
      <c r="A116" s="13" t="s">
        <v>86</v>
      </c>
      <c r="B116">
        <v>2024</v>
      </c>
      <c r="C116" s="16" t="s">
        <v>73</v>
      </c>
      <c r="D116" s="16">
        <v>1</v>
      </c>
    </row>
    <row r="117" spans="1:4">
      <c r="A117" s="13" t="s">
        <v>86</v>
      </c>
      <c r="B117">
        <v>2024</v>
      </c>
      <c r="C117" s="16" t="s">
        <v>75</v>
      </c>
      <c r="D117" s="16">
        <v>1</v>
      </c>
    </row>
    <row r="118" spans="1:4">
      <c r="A118" s="13" t="s">
        <v>87</v>
      </c>
      <c r="B118">
        <v>2023</v>
      </c>
      <c r="C118" s="16" t="s">
        <v>75</v>
      </c>
      <c r="D118" s="16">
        <v>2</v>
      </c>
    </row>
    <row r="119" spans="1:4">
      <c r="A119" s="13" t="s">
        <v>87</v>
      </c>
      <c r="B119">
        <v>2024</v>
      </c>
      <c r="C119" s="16" t="s">
        <v>73</v>
      </c>
      <c r="D119" s="16">
        <v>1</v>
      </c>
    </row>
    <row r="120" spans="1:4">
      <c r="A120" s="13" t="s">
        <v>87</v>
      </c>
      <c r="B120">
        <v>2024</v>
      </c>
      <c r="C120" s="16" t="s">
        <v>75</v>
      </c>
      <c r="D120" s="16">
        <v>1</v>
      </c>
    </row>
    <row r="121" spans="1:4">
      <c r="A121" s="13" t="s">
        <v>87</v>
      </c>
      <c r="B121">
        <v>2025</v>
      </c>
      <c r="C121" s="16" t="s">
        <v>73</v>
      </c>
      <c r="D121" s="16">
        <v>2</v>
      </c>
    </row>
    <row r="122" spans="1:4">
      <c r="A122" s="13" t="s">
        <v>87</v>
      </c>
      <c r="B122">
        <v>2025</v>
      </c>
      <c r="C122" s="16" t="s">
        <v>75</v>
      </c>
      <c r="D122" s="16">
        <v>2</v>
      </c>
    </row>
    <row r="123" spans="1:4">
      <c r="A123" s="13" t="s">
        <v>105</v>
      </c>
      <c r="B123">
        <v>2021</v>
      </c>
      <c r="C123" s="16" t="s">
        <v>73</v>
      </c>
      <c r="D123" s="16">
        <v>4</v>
      </c>
    </row>
    <row r="124" spans="1:4">
      <c r="A124" s="13" t="s">
        <v>105</v>
      </c>
      <c r="B124">
        <v>2022</v>
      </c>
      <c r="C124" s="16" t="s">
        <v>74</v>
      </c>
      <c r="D124" s="16">
        <v>1</v>
      </c>
    </row>
    <row r="125" spans="1:4">
      <c r="A125" s="13" t="s">
        <v>105</v>
      </c>
      <c r="B125">
        <v>2023</v>
      </c>
      <c r="C125" s="16" t="s">
        <v>73</v>
      </c>
      <c r="D125" s="16">
        <v>3</v>
      </c>
    </row>
    <row r="126" spans="1:4">
      <c r="A126" s="13" t="s">
        <v>105</v>
      </c>
      <c r="B126">
        <v>2023</v>
      </c>
      <c r="C126" s="16" t="s">
        <v>74</v>
      </c>
      <c r="D126" s="16">
        <v>1</v>
      </c>
    </row>
    <row r="127" spans="1:4">
      <c r="A127" s="13" t="s">
        <v>105</v>
      </c>
      <c r="B127">
        <v>2023</v>
      </c>
      <c r="C127" s="16" t="s">
        <v>75</v>
      </c>
      <c r="D127" s="16">
        <v>5</v>
      </c>
    </row>
    <row r="128" spans="1:4">
      <c r="A128" s="13" t="s">
        <v>105</v>
      </c>
      <c r="B128">
        <v>2024</v>
      </c>
      <c r="C128" s="16" t="s">
        <v>73</v>
      </c>
      <c r="D128" s="16">
        <v>4</v>
      </c>
    </row>
    <row r="129" spans="1:4">
      <c r="A129" s="13" t="s">
        <v>105</v>
      </c>
      <c r="B129">
        <v>2024</v>
      </c>
      <c r="C129" s="16" t="s">
        <v>75</v>
      </c>
      <c r="D129" s="16">
        <v>3</v>
      </c>
    </row>
    <row r="130" spans="1:4">
      <c r="A130" s="13" t="s">
        <v>105</v>
      </c>
      <c r="B130">
        <v>2025</v>
      </c>
      <c r="C130" s="16" t="s">
        <v>73</v>
      </c>
      <c r="D130" s="16">
        <v>1</v>
      </c>
    </row>
    <row r="131" spans="1:4">
      <c r="A131" s="13" t="s">
        <v>144</v>
      </c>
      <c r="B131">
        <v>2024</v>
      </c>
      <c r="C131" s="16" t="s">
        <v>73</v>
      </c>
      <c r="D131" s="16">
        <v>1</v>
      </c>
    </row>
    <row r="132" spans="1:4">
      <c r="A132" s="13" t="s">
        <v>144</v>
      </c>
      <c r="B132">
        <v>2025</v>
      </c>
      <c r="C132" s="16" t="s">
        <v>73</v>
      </c>
      <c r="D132" s="16">
        <v>1</v>
      </c>
    </row>
    <row r="133" spans="1:4">
      <c r="A133" s="13" t="s">
        <v>88</v>
      </c>
      <c r="B133">
        <v>2022</v>
      </c>
      <c r="C133" s="16" t="s">
        <v>73</v>
      </c>
      <c r="D133" s="16">
        <v>1</v>
      </c>
    </row>
    <row r="134" spans="1:4">
      <c r="A134" s="13" t="s">
        <v>88</v>
      </c>
      <c r="B134">
        <v>2025</v>
      </c>
      <c r="C134" s="16" t="s">
        <v>75</v>
      </c>
      <c r="D134" s="16">
        <v>1</v>
      </c>
    </row>
    <row r="135" spans="1:4">
      <c r="A135" s="13" t="s">
        <v>89</v>
      </c>
      <c r="B135">
        <v>2021</v>
      </c>
      <c r="C135" s="16" t="s">
        <v>73</v>
      </c>
      <c r="D135" s="16">
        <v>1</v>
      </c>
    </row>
    <row r="136" spans="1:4">
      <c r="A136" s="13" t="s">
        <v>89</v>
      </c>
      <c r="B136">
        <v>2023</v>
      </c>
      <c r="C136" s="16" t="s">
        <v>73</v>
      </c>
      <c r="D136" s="16">
        <v>2</v>
      </c>
    </row>
    <row r="137" spans="1:4">
      <c r="A137" s="13" t="s">
        <v>89</v>
      </c>
      <c r="B137">
        <v>2023</v>
      </c>
      <c r="C137" s="16" t="s">
        <v>75</v>
      </c>
      <c r="D137" s="16">
        <v>2</v>
      </c>
    </row>
    <row r="138" spans="1:4">
      <c r="A138" s="13" t="s">
        <v>89</v>
      </c>
      <c r="B138">
        <v>2024</v>
      </c>
      <c r="C138" s="16" t="s">
        <v>75</v>
      </c>
      <c r="D138" s="16">
        <v>1</v>
      </c>
    </row>
    <row r="139" spans="1:4">
      <c r="A139" s="13" t="s">
        <v>89</v>
      </c>
      <c r="B139">
        <v>2025</v>
      </c>
      <c r="C139" s="16" t="s">
        <v>75</v>
      </c>
      <c r="D139" s="16">
        <v>2</v>
      </c>
    </row>
    <row r="140" spans="1:4">
      <c r="A140" s="13" t="s">
        <v>90</v>
      </c>
      <c r="B140">
        <v>2023</v>
      </c>
      <c r="C140" s="16" t="s">
        <v>75</v>
      </c>
      <c r="D140" s="16">
        <v>3</v>
      </c>
    </row>
    <row r="141" spans="1:4">
      <c r="A141" s="13" t="s">
        <v>90</v>
      </c>
      <c r="B141">
        <v>2025</v>
      </c>
      <c r="C141" s="16" t="s">
        <v>74</v>
      </c>
      <c r="D141" s="16">
        <v>1</v>
      </c>
    </row>
    <row r="142" spans="1:4">
      <c r="A142" s="13" t="s">
        <v>145</v>
      </c>
      <c r="B142">
        <v>2025</v>
      </c>
      <c r="C142" s="16" t="s">
        <v>74</v>
      </c>
      <c r="D142" s="16">
        <v>1</v>
      </c>
    </row>
    <row r="143" spans="1:4">
      <c r="A143" s="13" t="s">
        <v>91</v>
      </c>
      <c r="B143">
        <v>2021</v>
      </c>
      <c r="C143" s="16" t="s">
        <v>73</v>
      </c>
      <c r="D143" s="16">
        <v>2</v>
      </c>
    </row>
    <row r="144" spans="1:4">
      <c r="A144" s="13" t="s">
        <v>91</v>
      </c>
      <c r="B144">
        <v>2022</v>
      </c>
      <c r="C144" s="16" t="s">
        <v>73</v>
      </c>
      <c r="D144" s="16">
        <v>1</v>
      </c>
    </row>
    <row r="145" spans="1:4">
      <c r="A145" s="13" t="s">
        <v>91</v>
      </c>
      <c r="B145">
        <v>2024</v>
      </c>
      <c r="C145" s="16" t="s">
        <v>73</v>
      </c>
      <c r="D145" s="16">
        <v>1</v>
      </c>
    </row>
    <row r="146" spans="1:4">
      <c r="A146" s="13" t="s">
        <v>91</v>
      </c>
      <c r="B146">
        <v>2025</v>
      </c>
      <c r="C146" s="16" t="s">
        <v>65</v>
      </c>
      <c r="D146" s="16">
        <v>1</v>
      </c>
    </row>
    <row r="147" spans="1:4">
      <c r="A147" s="13" t="s">
        <v>106</v>
      </c>
      <c r="B147">
        <v>2023</v>
      </c>
      <c r="C147" s="16" t="s">
        <v>73</v>
      </c>
      <c r="D147" s="16">
        <v>2</v>
      </c>
    </row>
    <row r="148" spans="1:4">
      <c r="A148" s="13" t="s">
        <v>106</v>
      </c>
      <c r="B148">
        <v>2023</v>
      </c>
      <c r="C148" s="16" t="s">
        <v>75</v>
      </c>
      <c r="D148" s="16">
        <v>3</v>
      </c>
    </row>
    <row r="149" spans="1:4">
      <c r="A149" s="13" t="s">
        <v>106</v>
      </c>
      <c r="B149">
        <v>2024</v>
      </c>
      <c r="C149" s="16" t="s">
        <v>73</v>
      </c>
      <c r="D149" s="16">
        <v>3</v>
      </c>
    </row>
    <row r="150" spans="1:4">
      <c r="A150" s="13" t="s">
        <v>106</v>
      </c>
      <c r="B150">
        <v>2025</v>
      </c>
      <c r="C150" s="16" t="s">
        <v>75</v>
      </c>
      <c r="D150" s="16">
        <v>2</v>
      </c>
    </row>
    <row r="151" spans="1:4">
      <c r="A151" s="13" t="s">
        <v>92</v>
      </c>
      <c r="B151">
        <v>2022</v>
      </c>
      <c r="C151" s="16" t="s">
        <v>73</v>
      </c>
      <c r="D151" s="16">
        <v>1</v>
      </c>
    </row>
    <row r="152" spans="1:4">
      <c r="A152" s="13" t="s">
        <v>92</v>
      </c>
      <c r="B152">
        <v>2024</v>
      </c>
      <c r="C152" s="16" t="s">
        <v>73</v>
      </c>
      <c r="D152" s="16">
        <v>2</v>
      </c>
    </row>
    <row r="153" spans="1:4">
      <c r="A153" s="13" t="s">
        <v>92</v>
      </c>
      <c r="B153">
        <v>2024</v>
      </c>
      <c r="C153" s="16" t="s">
        <v>75</v>
      </c>
      <c r="D153" s="16">
        <v>3</v>
      </c>
    </row>
    <row r="154" spans="1:4">
      <c r="A154" s="13" t="s">
        <v>92</v>
      </c>
      <c r="B154">
        <v>2025</v>
      </c>
      <c r="C154" s="16" t="s">
        <v>75</v>
      </c>
      <c r="D154" s="16">
        <v>2</v>
      </c>
    </row>
    <row r="156" spans="1:4" ht="15" customHeight="1">
      <c r="A156" s="19" t="s">
        <v>10</v>
      </c>
      <c r="B156" s="1" t="s">
        <v>11</v>
      </c>
    </row>
    <row r="157" spans="1:4" ht="15" customHeight="1">
      <c r="A157" s="19" t="s">
        <v>12</v>
      </c>
      <c r="B157" s="1" t="s">
        <v>108</v>
      </c>
    </row>
    <row r="158" spans="1:4" ht="15" customHeight="1">
      <c r="A158" s="19" t="s">
        <v>14</v>
      </c>
      <c r="B158" s="1" t="s">
        <v>109</v>
      </c>
    </row>
    <row r="159" spans="1:4" ht="15" customHeight="1">
      <c r="A159" s="19" t="s">
        <v>5</v>
      </c>
      <c r="B159" s="1" t="s">
        <v>6</v>
      </c>
    </row>
  </sheetData>
  <autoFilter ref="A1:E159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K12" sqref="K12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3" t="s">
        <v>69</v>
      </c>
      <c r="B2">
        <v>450</v>
      </c>
    </row>
    <row r="3" spans="1:2">
      <c r="A3" s="13" t="s">
        <v>68</v>
      </c>
      <c r="B3">
        <v>211</v>
      </c>
    </row>
    <row r="5" spans="1:2">
      <c r="A5" s="1" t="s">
        <v>12</v>
      </c>
      <c r="B5" s="1" t="s">
        <v>110</v>
      </c>
    </row>
    <row r="6" spans="1:2">
      <c r="A6" s="1" t="s">
        <v>14</v>
      </c>
      <c r="B6" s="1" t="s">
        <v>118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AY9"/>
  <sheetViews>
    <sheetView zoomScale="80" zoomScaleNormal="80" workbookViewId="0">
      <selection activeCell="AX2" sqref="A2:AX2"/>
    </sheetView>
  </sheetViews>
  <sheetFormatPr baseColWidth="10" defaultRowHeight="15"/>
  <sheetData>
    <row r="1" spans="1:5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120</v>
      </c>
      <c r="AI1" s="6" t="s">
        <v>121</v>
      </c>
      <c r="AJ1" s="6" t="s">
        <v>122</v>
      </c>
      <c r="AK1" s="6" t="s">
        <v>123</v>
      </c>
      <c r="AL1" s="6" t="s">
        <v>124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131</v>
      </c>
      <c r="AT1" s="6" t="s">
        <v>132</v>
      </c>
      <c r="AU1" s="6" t="s">
        <v>133</v>
      </c>
      <c r="AV1" s="6" t="s">
        <v>134</v>
      </c>
      <c r="AW1" s="6" t="s">
        <v>135</v>
      </c>
      <c r="AX1" s="6" t="s">
        <v>136</v>
      </c>
      <c r="AY1" s="6" t="s">
        <v>137</v>
      </c>
    </row>
    <row r="2" spans="1:51">
      <c r="A2" s="12">
        <v>2</v>
      </c>
      <c r="B2" s="12">
        <v>2</v>
      </c>
      <c r="C2" s="12">
        <v>12</v>
      </c>
      <c r="D2" s="12">
        <v>1</v>
      </c>
      <c r="E2" s="12">
        <v>1</v>
      </c>
      <c r="F2" s="12">
        <v>1</v>
      </c>
      <c r="G2" s="12">
        <v>2</v>
      </c>
      <c r="H2" s="12">
        <v>5</v>
      </c>
      <c r="I2" s="12">
        <v>4</v>
      </c>
      <c r="J2" s="12">
        <v>18</v>
      </c>
      <c r="K2" s="12">
        <v>2</v>
      </c>
      <c r="L2" s="12">
        <v>6</v>
      </c>
      <c r="M2" s="12">
        <v>1</v>
      </c>
      <c r="N2" s="12">
        <v>2</v>
      </c>
      <c r="O2" s="12">
        <v>4</v>
      </c>
      <c r="P2" s="12">
        <v>13</v>
      </c>
      <c r="Q2" s="12">
        <v>1</v>
      </c>
      <c r="R2" s="12">
        <v>2</v>
      </c>
      <c r="S2" s="12">
        <v>6</v>
      </c>
      <c r="T2" s="12">
        <v>5</v>
      </c>
      <c r="U2" s="12">
        <v>4</v>
      </c>
      <c r="V2" s="12">
        <v>4</v>
      </c>
      <c r="W2" s="12">
        <v>19</v>
      </c>
      <c r="X2" s="12">
        <v>11</v>
      </c>
      <c r="Y2" s="12">
        <v>6</v>
      </c>
      <c r="Z2" s="12">
        <v>13</v>
      </c>
      <c r="AA2" s="12">
        <v>19</v>
      </c>
      <c r="AB2" s="12">
        <v>37</v>
      </c>
      <c r="AC2" s="12">
        <v>34</v>
      </c>
      <c r="AD2" s="12">
        <v>44</v>
      </c>
      <c r="AE2" s="12">
        <v>84</v>
      </c>
      <c r="AF2" s="12">
        <v>38</v>
      </c>
      <c r="AG2" s="12">
        <v>15</v>
      </c>
      <c r="AH2" s="17">
        <v>8</v>
      </c>
      <c r="AI2" s="17">
        <v>7</v>
      </c>
      <c r="AJ2" s="17">
        <v>21</v>
      </c>
      <c r="AK2" s="17">
        <v>21</v>
      </c>
      <c r="AL2" s="17">
        <v>14</v>
      </c>
      <c r="AM2" s="17">
        <v>11</v>
      </c>
      <c r="AN2" s="17">
        <v>8</v>
      </c>
      <c r="AO2" s="17">
        <v>12</v>
      </c>
      <c r="AP2" s="17">
        <v>11</v>
      </c>
      <c r="AQ2" s="17">
        <v>16</v>
      </c>
      <c r="AR2" s="17">
        <v>17</v>
      </c>
      <c r="AS2" s="17">
        <v>7</v>
      </c>
      <c r="AT2" s="17">
        <v>8</v>
      </c>
      <c r="AU2" s="17">
        <v>11</v>
      </c>
      <c r="AV2" s="17">
        <v>22</v>
      </c>
      <c r="AW2" s="17">
        <v>12</v>
      </c>
      <c r="AX2" s="17">
        <v>12</v>
      </c>
      <c r="AY2" s="17">
        <v>25</v>
      </c>
    </row>
    <row r="4" spans="1:51">
      <c r="A4" s="1" t="s">
        <v>12</v>
      </c>
      <c r="B4" s="1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51">
      <c r="A5" s="1" t="s">
        <v>14</v>
      </c>
      <c r="B5" s="1" t="s">
        <v>119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51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51">
      <c r="A7" s="1" t="s">
        <v>7</v>
      </c>
      <c r="B7" s="1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51">
      <c r="A9" t="s">
        <v>10</v>
      </c>
      <c r="B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4AC-A392-4788-A422-5148002B1093}">
  <dimension ref="A1:I1004"/>
  <sheetViews>
    <sheetView topLeftCell="A18" workbookViewId="0">
      <selection activeCell="K17" sqref="K17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6" width="9.140625" customWidth="1"/>
    <col min="7" max="19" width="10.7109375" customWidth="1"/>
  </cols>
  <sheetData>
    <row r="1" spans="1:9">
      <c r="A1" s="7" t="s">
        <v>3</v>
      </c>
      <c r="B1" s="7" t="s">
        <v>27</v>
      </c>
      <c r="C1" s="14" t="s">
        <v>93</v>
      </c>
      <c r="D1" s="14" t="s">
        <v>94</v>
      </c>
      <c r="E1" s="17" t="s">
        <v>138</v>
      </c>
      <c r="F1" s="7" t="s">
        <v>4</v>
      </c>
      <c r="I1" s="2"/>
    </row>
    <row r="2" spans="1:9">
      <c r="A2" s="8">
        <v>2020</v>
      </c>
      <c r="B2" s="11" t="s">
        <v>28</v>
      </c>
      <c r="C2">
        <v>1</v>
      </c>
      <c r="D2">
        <v>3</v>
      </c>
      <c r="F2" s="9">
        <f t="shared" ref="F2:F9" si="0">SUM(C2:E2)</f>
        <v>4</v>
      </c>
    </row>
    <row r="3" spans="1:9">
      <c r="A3" s="8">
        <v>2020</v>
      </c>
      <c r="B3" s="11" t="s">
        <v>29</v>
      </c>
      <c r="C3">
        <v>12</v>
      </c>
      <c r="D3">
        <v>2</v>
      </c>
      <c r="F3" s="9">
        <f t="shared" si="0"/>
        <v>14</v>
      </c>
    </row>
    <row r="4" spans="1:9">
      <c r="A4" s="8">
        <v>2021</v>
      </c>
      <c r="B4" s="11" t="s">
        <v>28</v>
      </c>
      <c r="D4">
        <v>3</v>
      </c>
      <c r="F4" s="9">
        <f t="shared" si="0"/>
        <v>3</v>
      </c>
    </row>
    <row r="5" spans="1:9">
      <c r="A5" s="8">
        <v>2021</v>
      </c>
      <c r="B5" s="11" t="s">
        <v>29</v>
      </c>
      <c r="C5">
        <v>14</v>
      </c>
      <c r="D5">
        <v>21</v>
      </c>
      <c r="F5" s="9">
        <f t="shared" si="0"/>
        <v>35</v>
      </c>
    </row>
    <row r="6" spans="1:9">
      <c r="A6" s="8">
        <v>2022</v>
      </c>
      <c r="B6" s="11" t="s">
        <v>28</v>
      </c>
      <c r="C6">
        <v>11</v>
      </c>
      <c r="D6">
        <v>9</v>
      </c>
      <c r="F6" s="9">
        <f t="shared" si="0"/>
        <v>20</v>
      </c>
    </row>
    <row r="7" spans="1:9">
      <c r="A7" s="8">
        <v>2022</v>
      </c>
      <c r="B7" s="11" t="s">
        <v>29</v>
      </c>
      <c r="C7">
        <v>9</v>
      </c>
      <c r="D7">
        <v>9</v>
      </c>
      <c r="F7" s="9">
        <f t="shared" si="0"/>
        <v>18</v>
      </c>
    </row>
    <row r="8" spans="1:9">
      <c r="A8" s="8">
        <v>2023</v>
      </c>
      <c r="B8" s="11" t="s">
        <v>28</v>
      </c>
      <c r="C8">
        <v>33</v>
      </c>
      <c r="D8">
        <v>39</v>
      </c>
      <c r="F8" s="9">
        <f t="shared" si="0"/>
        <v>72</v>
      </c>
    </row>
    <row r="9" spans="1:9">
      <c r="A9" s="8">
        <v>2023</v>
      </c>
      <c r="B9" s="11" t="s">
        <v>29</v>
      </c>
      <c r="C9">
        <v>119</v>
      </c>
      <c r="D9">
        <v>133</v>
      </c>
      <c r="F9" s="9">
        <f t="shared" si="0"/>
        <v>252</v>
      </c>
    </row>
    <row r="10" spans="1:9">
      <c r="A10" s="8">
        <v>2024</v>
      </c>
      <c r="B10" s="11" t="s">
        <v>28</v>
      </c>
      <c r="C10">
        <v>9</v>
      </c>
      <c r="D10">
        <v>71</v>
      </c>
      <c r="E10">
        <v>2</v>
      </c>
      <c r="F10" s="9">
        <f>SUM(C10:E10)</f>
        <v>82</v>
      </c>
    </row>
    <row r="11" spans="1:9">
      <c r="A11" s="8">
        <v>2024</v>
      </c>
      <c r="B11" s="11" t="s">
        <v>29</v>
      </c>
      <c r="C11">
        <v>3</v>
      </c>
      <c r="D11">
        <v>68</v>
      </c>
      <c r="F11" s="9">
        <f>SUM(C11:E11)</f>
        <v>71</v>
      </c>
    </row>
    <row r="12" spans="1:9">
      <c r="A12" s="8">
        <v>2025</v>
      </c>
      <c r="B12" s="11" t="s">
        <v>28</v>
      </c>
      <c r="C12">
        <v>15</v>
      </c>
      <c r="D12">
        <v>75</v>
      </c>
      <c r="F12" s="9">
        <f>SUM(C12:E12)</f>
        <v>90</v>
      </c>
    </row>
    <row r="13" spans="1:9">
      <c r="A13" s="10" t="s">
        <v>20</v>
      </c>
      <c r="B13" s="10"/>
      <c r="C13" s="9">
        <f>SUM(C2:C12)</f>
        <v>226</v>
      </c>
      <c r="D13" s="9">
        <f>SUM(D2:D12)</f>
        <v>433</v>
      </c>
      <c r="E13" s="9"/>
      <c r="F13" s="9">
        <f>SUM(F2:F12)</f>
        <v>661</v>
      </c>
    </row>
    <row r="15" spans="1:9">
      <c r="A15" s="1" t="s">
        <v>0</v>
      </c>
      <c r="B15" s="1" t="s">
        <v>112</v>
      </c>
      <c r="C15" s="1"/>
      <c r="D15" s="1"/>
      <c r="E15" s="1"/>
    </row>
    <row r="16" spans="1:9">
      <c r="A16" s="5" t="s">
        <v>14</v>
      </c>
      <c r="B16" s="1" t="s">
        <v>139</v>
      </c>
      <c r="C16" s="5"/>
      <c r="D16" s="5"/>
      <c r="E16" s="5"/>
    </row>
    <row r="17" spans="1:5">
      <c r="A17" s="1" t="s">
        <v>5</v>
      </c>
      <c r="B17" s="1" t="s">
        <v>95</v>
      </c>
      <c r="C17" s="1"/>
      <c r="D17" s="1"/>
      <c r="E17" s="1"/>
    </row>
    <row r="18" spans="1:5">
      <c r="A18" s="1" t="s">
        <v>7</v>
      </c>
      <c r="B18" s="1" t="s">
        <v>23</v>
      </c>
      <c r="C18" s="1"/>
      <c r="D18" s="1"/>
      <c r="E18" s="1"/>
    </row>
    <row r="19" spans="1:5" ht="15" customHeight="1">
      <c r="A19" s="1"/>
      <c r="B19" s="1"/>
      <c r="C19" s="1"/>
      <c r="D19" s="1"/>
      <c r="E19" s="1"/>
    </row>
    <row r="20" spans="1:5" ht="15" customHeight="1">
      <c r="A20" s="1" t="s">
        <v>10</v>
      </c>
      <c r="B20" s="1" t="s">
        <v>16</v>
      </c>
      <c r="C20" s="1"/>
      <c r="D20" s="1"/>
      <c r="E20" s="1"/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2025-10-15T20:07:41Z</dcterms:modified>
</cp:coreProperties>
</file>