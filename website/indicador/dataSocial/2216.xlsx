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B9DAE40D-834F-49DE-866C-0A2590BA9EDA}" xr6:coauthVersionLast="47" xr6:coauthVersionMax="47" xr10:uidLastSave="{00000000-0000-0000-0000-000000000000}"/>
  <bookViews>
    <workbookView xWindow="20370" yWindow="330" windowWidth="20730" windowHeight="11040" activeTab="5" xr2:uid="{D7E57186-66CB-4261-B40D-E387118D43AB}"/>
  </bookViews>
  <sheets>
    <sheet name="Data0" sheetId="8" r:id="rId1"/>
    <sheet name="Data1" sheetId="4" r:id="rId2"/>
    <sheet name="Data2" sheetId="13" r:id="rId3"/>
    <sheet name="Data3" sheetId="15" r:id="rId4"/>
    <sheet name="Data4" sheetId="19" r:id="rId5"/>
    <sheet name="Data5" sheetId="34" r:id="rId6"/>
    <sheet name="Data6" sheetId="37" r:id="rId7"/>
  </sheets>
  <definedNames>
    <definedName name="_xlnm._FilterDatabase" localSheetId="2" hidden="1">Data2!$A$1:$D$737</definedName>
    <definedName name="suma">Data1!$D$2:$D$9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9" l="1"/>
  <c r="D13" i="19"/>
  <c r="E12" i="19"/>
  <c r="E11" i="19"/>
  <c r="E10" i="19"/>
  <c r="E9" i="19"/>
  <c r="E8" i="19"/>
  <c r="E7" i="19"/>
  <c r="E6" i="19"/>
  <c r="E5" i="19"/>
  <c r="E4" i="19"/>
  <c r="E3" i="19"/>
  <c r="F10" i="19"/>
  <c r="F8" i="19"/>
  <c r="F6" i="19"/>
  <c r="F4" i="19"/>
  <c r="F2" i="19"/>
  <c r="E13" i="19" l="1"/>
  <c r="C13" i="37" l="1"/>
  <c r="D13" i="37"/>
  <c r="E13" i="37"/>
  <c r="F13" i="37"/>
  <c r="G13" i="37"/>
  <c r="H13" i="37"/>
  <c r="I10" i="37"/>
  <c r="I11" i="37"/>
  <c r="I12" i="37"/>
  <c r="I3" i="37"/>
  <c r="I4" i="37"/>
  <c r="I5" i="37"/>
  <c r="I6" i="37"/>
  <c r="I7" i="37"/>
  <c r="I8" i="37"/>
  <c r="I9" i="37"/>
  <c r="J8" i="37" s="1"/>
  <c r="I2" i="37"/>
  <c r="E2" i="19"/>
  <c r="I13" i="37" l="1"/>
  <c r="D13" i="4"/>
  <c r="E13" i="4"/>
  <c r="F13" i="4"/>
  <c r="G13" i="4"/>
  <c r="H13" i="4"/>
  <c r="C13" i="4"/>
  <c r="I3" i="4"/>
  <c r="I4" i="4"/>
  <c r="I5" i="4"/>
  <c r="I6" i="4"/>
  <c r="I7" i="4"/>
  <c r="I8" i="4"/>
  <c r="I9" i="4"/>
  <c r="I2" i="4"/>
  <c r="I13" i="4" l="1"/>
</calcChain>
</file>

<file path=xl/sharedStrings.xml><?xml version="1.0" encoding="utf-8"?>
<sst xmlns="http://schemas.openxmlformats.org/spreadsheetml/2006/main" count="1924" uniqueCount="264">
  <si>
    <t>15455</t>
  </si>
  <si>
    <t>15001</t>
  </si>
  <si>
    <t>15814</t>
  </si>
  <si>
    <t>15097</t>
  </si>
  <si>
    <t>15238</t>
  </si>
  <si>
    <t>15272</t>
  </si>
  <si>
    <t>15806</t>
  </si>
  <si>
    <t>15837</t>
  </si>
  <si>
    <t>15377</t>
  </si>
  <si>
    <t>15879</t>
  </si>
  <si>
    <t>15087</t>
  </si>
  <si>
    <t>15757</t>
  </si>
  <si>
    <t>15861</t>
  </si>
  <si>
    <t>15322</t>
  </si>
  <si>
    <t>15673</t>
  </si>
  <si>
    <t>15407</t>
  </si>
  <si>
    <t>15759</t>
  </si>
  <si>
    <t>15832</t>
  </si>
  <si>
    <t>15507</t>
  </si>
  <si>
    <t>15204</t>
  </si>
  <si>
    <t>15638</t>
  </si>
  <si>
    <t>15104</t>
  </si>
  <si>
    <t>15600</t>
  </si>
  <si>
    <t>15755</t>
  </si>
  <si>
    <t>15690</t>
  </si>
  <si>
    <t>15816</t>
  </si>
  <si>
    <t>15299</t>
  </si>
  <si>
    <t>15667</t>
  </si>
  <si>
    <t>15693</t>
  </si>
  <si>
    <t>15183</t>
  </si>
  <si>
    <t>15572</t>
  </si>
  <si>
    <t>15599</t>
  </si>
  <si>
    <t>15696</t>
  </si>
  <si>
    <t>15176</t>
  </si>
  <si>
    <t>15537</t>
  </si>
  <si>
    <t>15723</t>
  </si>
  <si>
    <t>15516</t>
  </si>
  <si>
    <t>15798</t>
  </si>
  <si>
    <t>15550</t>
  </si>
  <si>
    <t>15232</t>
  </si>
  <si>
    <t>15244</t>
  </si>
  <si>
    <t>15676</t>
  </si>
  <si>
    <t>15476</t>
  </si>
  <si>
    <t>15109</t>
  </si>
  <si>
    <t>15248</t>
  </si>
  <si>
    <t>15317</t>
  </si>
  <si>
    <t>15740</t>
  </si>
  <si>
    <t>15820</t>
  </si>
  <si>
    <t>15047</t>
  </si>
  <si>
    <t>15224</t>
  </si>
  <si>
    <t>15580</t>
  </si>
  <si>
    <t>15296</t>
  </si>
  <si>
    <t>15776</t>
  </si>
  <si>
    <t>15051</t>
  </si>
  <si>
    <t>15763</t>
  </si>
  <si>
    <t>15135</t>
  </si>
  <si>
    <t>15681</t>
  </si>
  <si>
    <t>15774</t>
  </si>
  <si>
    <t>15469</t>
  </si>
  <si>
    <t>15646</t>
  </si>
  <si>
    <t>15185</t>
  </si>
  <si>
    <t>15753</t>
  </si>
  <si>
    <t>15332</t>
  </si>
  <si>
    <t>15835</t>
  </si>
  <si>
    <t>15808</t>
  </si>
  <si>
    <t>15762</t>
  </si>
  <si>
    <t>15790</t>
  </si>
  <si>
    <t>15362</t>
  </si>
  <si>
    <t>15223</t>
  </si>
  <si>
    <t>15778</t>
  </si>
  <si>
    <t>15842</t>
  </si>
  <si>
    <t>15403</t>
  </si>
  <si>
    <t>15804</t>
  </si>
  <si>
    <t>15542</t>
  </si>
  <si>
    <t>15293</t>
  </si>
  <si>
    <t>15276</t>
  </si>
  <si>
    <t>15632</t>
  </si>
  <si>
    <t>15218</t>
  </si>
  <si>
    <t>15764</t>
  </si>
  <si>
    <t>15491</t>
  </si>
  <si>
    <t>15187</t>
  </si>
  <si>
    <t>15442</t>
  </si>
  <si>
    <t>15531</t>
  </si>
  <si>
    <t>15897</t>
  </si>
  <si>
    <t>15621</t>
  </si>
  <si>
    <t>15686</t>
  </si>
  <si>
    <t>15822</t>
  </si>
  <si>
    <t>15464</t>
  </si>
  <si>
    <t>15466</t>
  </si>
  <si>
    <t>15533</t>
  </si>
  <si>
    <t>15092</t>
  </si>
  <si>
    <t>15189</t>
  </si>
  <si>
    <t>15518</t>
  </si>
  <si>
    <t>15761</t>
  </si>
  <si>
    <t>15522</t>
  </si>
  <si>
    <t>15180</t>
  </si>
  <si>
    <t>15212</t>
  </si>
  <si>
    <t>15172</t>
  </si>
  <si>
    <t>15162</t>
  </si>
  <si>
    <t>15494</t>
  </si>
  <si>
    <t>15325</t>
  </si>
  <si>
    <t>15090</t>
  </si>
  <si>
    <t>15720</t>
  </si>
  <si>
    <t>15401</t>
  </si>
  <si>
    <t>15367</t>
  </si>
  <si>
    <t>15664</t>
  </si>
  <si>
    <t>15022</t>
  </si>
  <si>
    <t>15810</t>
  </si>
  <si>
    <t>15215</t>
  </si>
  <si>
    <t>AÑO</t>
  </si>
  <si>
    <t>Año</t>
  </si>
  <si>
    <t>Primera infancia (0 a 5 años)</t>
  </si>
  <si>
    <t>Infancia (6 a 11 años)</t>
  </si>
  <si>
    <t>Adolescencia (12 a 17 años)</t>
  </si>
  <si>
    <t>Juventud (18 a 28 años)</t>
  </si>
  <si>
    <t>Adultez (29 a 59 años)</t>
  </si>
  <si>
    <t>Vejez (Mayor a 60 años)</t>
  </si>
  <si>
    <t>Total año</t>
  </si>
  <si>
    <t>Total</t>
  </si>
  <si>
    <t>Mujer</t>
  </si>
  <si>
    <t>Hombre</t>
  </si>
  <si>
    <t xml:space="preserve">TOTAL </t>
  </si>
  <si>
    <t>Categoría:</t>
  </si>
  <si>
    <t>Salud</t>
  </si>
  <si>
    <t>Descripción:</t>
  </si>
  <si>
    <t>Titulo:</t>
  </si>
  <si>
    <t>Subcategoría:</t>
  </si>
  <si>
    <t>Morbilidad</t>
  </si>
  <si>
    <t>Etiquetas:</t>
  </si>
  <si>
    <t>ODS</t>
  </si>
  <si>
    <t>Fuentes:</t>
  </si>
  <si>
    <t>Página de SIVIGILA Instituto Nacional de Salud</t>
  </si>
  <si>
    <t>Número de casos de varicela individual en los municipios de Boyacá</t>
  </si>
  <si>
    <t>Vertical:</t>
  </si>
  <si>
    <t>Horizontal:</t>
  </si>
  <si>
    <t>Semestre / Año</t>
  </si>
  <si>
    <t>Tipo:</t>
  </si>
  <si>
    <t>Gráfica de columnas</t>
  </si>
  <si>
    <t>15114</t>
  </si>
  <si>
    <t>15380</t>
  </si>
  <si>
    <t>15511</t>
  </si>
  <si>
    <t>CODIGO</t>
  </si>
  <si>
    <t>CASOS</t>
  </si>
  <si>
    <t xml:space="preserve">SEXO </t>
  </si>
  <si>
    <t>Mapa</t>
  </si>
  <si>
    <t>Título:</t>
  </si>
  <si>
    <t>Número de casos</t>
  </si>
  <si>
    <t>Número de casos de varicela individual en cada municipio</t>
  </si>
  <si>
    <t>Género</t>
  </si>
  <si>
    <t>Casos</t>
  </si>
  <si>
    <t>Gráfico persona</t>
  </si>
  <si>
    <t>Número total de casos de varicela individual distribuídos por Sexo</t>
  </si>
  <si>
    <t>SI</t>
  </si>
  <si>
    <t>NO</t>
  </si>
  <si>
    <t>Semestre</t>
  </si>
  <si>
    <t>Enero a Junio</t>
  </si>
  <si>
    <t>Julio a Diciembre</t>
  </si>
  <si>
    <t>Discapacidad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</si>
  <si>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</si>
  <si>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</si>
  <si>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</si>
  <si>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</si>
  <si>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</si>
  <si>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</si>
  <si>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</si>
  <si>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</si>
  <si>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</si>
  <si>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</si>
  <si>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</si>
  <si>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</si>
  <si>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</si>
  <si>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</si>
  <si>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</si>
  <si>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</si>
  <si>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</si>
  <si>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</si>
  <si>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</si>
  <si>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</si>
  <si>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</si>
  <si>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</si>
  <si>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</si>
  <si>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</si>
  <si>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</si>
  <si>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</si>
  <si>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</si>
  <si>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</si>
  <si>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</si>
  <si>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</si>
  <si>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</si>
  <si>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</si>
  <si>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</si>
  <si>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</si>
  <si>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</si>
  <si>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</si>
  <si>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</si>
  <si>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</si>
  <si>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</si>
  <si>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</si>
  <si>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</si>
  <si>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</si>
  <si>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</si>
  <si>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</si>
  <si>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</si>
  <si>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</si>
  <si>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</si>
  <si>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</si>
  <si>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Mes</t>
  </si>
  <si>
    <t>Gráfico linea</t>
  </si>
  <si>
    <t>INDIGENA</t>
  </si>
  <si>
    <t>OTRO</t>
  </si>
  <si>
    <t>PALENQUERO</t>
  </si>
  <si>
    <t>RAIZAL</t>
  </si>
  <si>
    <t>GITANO</t>
  </si>
  <si>
    <t>AFRO COLOMBIANO</t>
  </si>
  <si>
    <t>Etnia</t>
  </si>
  <si>
    <t>enero a junio</t>
  </si>
  <si>
    <t>julio a diciembre</t>
  </si>
  <si>
    <t>Número de casos de varicela individual por discapacidad</t>
  </si>
  <si>
    <t>Número de casos por año y mes de varicela individual</t>
  </si>
  <si>
    <t>Se presenta el número de casos por año y mes de varicela individual.</t>
  </si>
  <si>
    <t>Número de casos de varicela individual en los municipios de Boyacá desde enero 2020 a junio 2025</t>
  </si>
  <si>
    <t>La gráfica muestra el número de casos de varicela individual por ciclo de vida desde el año 2020 hasta el primer semestre de 2025</t>
  </si>
  <si>
    <t>Número de casos de varicela individual por ciclo de vida desde enero 2020 a junio 2025</t>
  </si>
  <si>
    <t>La gráfica muestra el número de casos de varicela individual clasificados por Etnia desde el año 2020 hasta junio 2025</t>
  </si>
  <si>
    <t>Número de casos de varicela individual por etnia desde enero 2020 a junio 2025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</si>
  <si>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</si>
  <si>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</si>
  <si>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</si>
  <si>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</si>
  <si>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</si>
  <si>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</si>
  <si>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</si>
  <si>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</si>
  <si>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</si>
  <si>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</si>
  <si>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</si>
  <si>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</si>
  <si>
    <t>2025 Enero</t>
  </si>
  <si>
    <t>2025 Febrero</t>
  </si>
  <si>
    <t xml:space="preserve">2025 Marzo </t>
  </si>
  <si>
    <t>2025 Abril</t>
  </si>
  <si>
    <t>2025 Mayo</t>
  </si>
  <si>
    <t>2025 Junio</t>
  </si>
  <si>
    <t>2024</t>
  </si>
  <si>
    <t>15236</t>
  </si>
  <si>
    <t>05129</t>
  </si>
  <si>
    <t>15480</t>
  </si>
  <si>
    <t>15226</t>
  </si>
  <si>
    <t>2025</t>
  </si>
  <si>
    <t xml:space="preserve">No reporta edad </t>
  </si>
  <si>
    <t>La gráfica muestra el número de casos de varicela individual clasificados por Discapacidad desde enero del año 2020 hasta junio 2025</t>
  </si>
  <si>
    <t>05585</t>
  </si>
  <si>
    <t>54174</t>
  </si>
  <si>
    <t>68264</t>
  </si>
  <si>
    <t>05819</t>
  </si>
  <si>
    <t>05591</t>
  </si>
  <si>
    <t>05079</t>
  </si>
  <si>
    <t>15514</t>
  </si>
  <si>
    <t>68861</t>
  </si>
  <si>
    <t>Se presenta la sumatoria total de casos de varicela individual distribuidos por sexo durante el período enero 2020 a junio 2025</t>
  </si>
  <si>
    <t>05361</t>
  </si>
  <si>
    <t>11001</t>
  </si>
  <si>
    <t>73001</t>
  </si>
  <si>
    <t>Número de casos de varicela individual por año, ciclo de vida, edad y municipio de ocurrencia de enero 2020 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</si>
</sst>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sz val="11"/>
      <color rgb="FF000000"/>
      <name val="Calibri"/>
      <family val="2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8" fillId="2" borderId="2" xfId="0" applyFont="1" applyFill="1" applyBorder="1"/>
    <xf numFmtId="0" fontId="8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8" fillId="2" borderId="0" xfId="0" applyFont="1" applyFill="1"/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NÚMERO DE CASOS DE VARICELA INDIVIDUAL POR CICLO DE VIDA</a:t>
            </a:r>
          </a:p>
          <a:p>
            <a:pPr>
              <a:defRPr/>
            </a:pPr>
            <a:r>
              <a:rPr lang="es-CO" sz="10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enero 2020 a junio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6335883875062839E-2"/>
          <c:y val="0.17573989080241975"/>
          <c:w val="0.88748288635147443"/>
          <c:h val="0.54620882282762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54</c:v>
                </c:pt>
                <c:pt idx="1">
                  <c:v>21</c:v>
                </c:pt>
                <c:pt idx="2">
                  <c:v>16</c:v>
                </c:pt>
                <c:pt idx="3">
                  <c:v>73</c:v>
                </c:pt>
                <c:pt idx="4">
                  <c:v>142</c:v>
                </c:pt>
                <c:pt idx="5">
                  <c:v>68</c:v>
                </c:pt>
                <c:pt idx="6">
                  <c:v>126</c:v>
                </c:pt>
                <c:pt idx="7">
                  <c:v>124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7-47E1-87E1-CAE4CF0B7FAA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106</c:v>
                </c:pt>
                <c:pt idx="1">
                  <c:v>32</c:v>
                </c:pt>
                <c:pt idx="2">
                  <c:v>21</c:v>
                </c:pt>
                <c:pt idx="3">
                  <c:v>34</c:v>
                </c:pt>
                <c:pt idx="4">
                  <c:v>82</c:v>
                </c:pt>
                <c:pt idx="5">
                  <c:v>85</c:v>
                </c:pt>
                <c:pt idx="6">
                  <c:v>72</c:v>
                </c:pt>
                <c:pt idx="7">
                  <c:v>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7-47E1-87E1-CAE4CF0B7FAA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45</c:v>
                </c:pt>
                <c:pt idx="1">
                  <c:v>21</c:v>
                </c:pt>
                <c:pt idx="2">
                  <c:v>11</c:v>
                </c:pt>
                <c:pt idx="3">
                  <c:v>17</c:v>
                </c:pt>
                <c:pt idx="4">
                  <c:v>77</c:v>
                </c:pt>
                <c:pt idx="5">
                  <c:v>67</c:v>
                </c:pt>
                <c:pt idx="6">
                  <c:v>63</c:v>
                </c:pt>
                <c:pt idx="7">
                  <c:v>102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7-47E1-87E1-CAE4CF0B7FAA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Data1!$F$2:$F$12</c:f>
              <c:numCache>
                <c:formatCode>General</c:formatCode>
                <c:ptCount val="11"/>
                <c:pt idx="0">
                  <c:v>64</c:v>
                </c:pt>
                <c:pt idx="1">
                  <c:v>28</c:v>
                </c:pt>
                <c:pt idx="2">
                  <c:v>32</c:v>
                </c:pt>
                <c:pt idx="3">
                  <c:v>49</c:v>
                </c:pt>
                <c:pt idx="4">
                  <c:v>68</c:v>
                </c:pt>
                <c:pt idx="5">
                  <c:v>72</c:v>
                </c:pt>
                <c:pt idx="6">
                  <c:v>66</c:v>
                </c:pt>
                <c:pt idx="7">
                  <c:v>137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27-47E1-87E1-CAE4CF0B7FAA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Data1!$G$2:$G$12</c:f>
              <c:numCache>
                <c:formatCode>General</c:formatCode>
                <c:ptCount val="11"/>
                <c:pt idx="0">
                  <c:v>38</c:v>
                </c:pt>
                <c:pt idx="1">
                  <c:v>39</c:v>
                </c:pt>
                <c:pt idx="2">
                  <c:v>18</c:v>
                </c:pt>
                <c:pt idx="3">
                  <c:v>23</c:v>
                </c:pt>
                <c:pt idx="4">
                  <c:v>26</c:v>
                </c:pt>
                <c:pt idx="5">
                  <c:v>32</c:v>
                </c:pt>
                <c:pt idx="6">
                  <c:v>40</c:v>
                </c:pt>
                <c:pt idx="7">
                  <c:v>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27-47E1-87E1-CAE4CF0B7FAA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(Mayor a 60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Data1!$H$2:$H$12</c:f>
              <c:numCache>
                <c:formatCode>General</c:formatCode>
                <c:ptCount val="11"/>
                <c:pt idx="0">
                  <c:v>4</c:v>
                </c:pt>
                <c:pt idx="1">
                  <c:v>11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27-47E1-87E1-CAE4CF0B7F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4742016"/>
        <c:axId val="644742496"/>
      </c:barChart>
      <c:catAx>
        <c:axId val="6447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4742496"/>
        <c:crosses val="autoZero"/>
        <c:auto val="1"/>
        <c:lblAlgn val="ctr"/>
        <c:lblOffset val="100"/>
        <c:noMultiLvlLbl val="0"/>
      </c:catAx>
      <c:valAx>
        <c:axId val="6447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47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NÚMERO TOTAL DE CASOS DE VARICELA INDIVIDUAL DISTRIBUIDOS POR SEXO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2020 a junio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6402537182852145"/>
          <c:y val="0.32995370370370369"/>
          <c:w val="0.80541907261592294"/>
          <c:h val="0.450854747297114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88-49BC-997B-14F89A9186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1938</c:v>
                </c:pt>
                <c:pt idx="1">
                  <c:v>1649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8-49BC-997B-14F89A918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129408"/>
        <c:axId val="640130848"/>
      </c:barChart>
      <c:catAx>
        <c:axId val="6401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0130848"/>
        <c:crosses val="autoZero"/>
        <c:auto val="1"/>
        <c:lblAlgn val="ctr"/>
        <c:lblOffset val="100"/>
        <c:noMultiLvlLbl val="0"/>
      </c:catAx>
      <c:valAx>
        <c:axId val="6401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01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NÚMERO DE CASOS DE VARICELA INDIVIDUAL POR DISCAPACIDAD</a:t>
            </a:r>
          </a:p>
          <a:p>
            <a:pPr>
              <a:defRPr/>
            </a:pPr>
            <a:r>
              <a:rPr lang="es-CO" sz="105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enero 2020 a junio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365759731161426"/>
          <c:y val="0.22876427829698859"/>
          <c:w val="0.86665031532712533"/>
          <c:h val="0.46737083495994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Data4!$C$1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Data4!$C$2:$C$12</c:f>
              <c:numCache>
                <c:formatCode>General</c:formatCode>
                <c:ptCount val="11"/>
                <c:pt idx="0">
                  <c:v>309</c:v>
                </c:pt>
                <c:pt idx="1">
                  <c:v>152</c:v>
                </c:pt>
                <c:pt idx="2">
                  <c:v>98</c:v>
                </c:pt>
                <c:pt idx="3">
                  <c:v>199</c:v>
                </c:pt>
                <c:pt idx="4">
                  <c:v>398</c:v>
                </c:pt>
                <c:pt idx="5">
                  <c:v>327</c:v>
                </c:pt>
                <c:pt idx="6">
                  <c:v>371</c:v>
                </c:pt>
                <c:pt idx="7">
                  <c:v>549</c:v>
                </c:pt>
                <c:pt idx="8">
                  <c:v>371</c:v>
                </c:pt>
                <c:pt idx="9">
                  <c:v>345</c:v>
                </c:pt>
                <c:pt idx="10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6-4B59-94B1-E77D4B1C88E3}"/>
            </c:ext>
          </c:extLst>
        </c:ser>
        <c:ser>
          <c:idx val="1"/>
          <c:order val="1"/>
          <c:tx>
            <c:strRef>
              <c:f>Data4!$D$1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Data4!$D$2:$D$12</c:f>
              <c:numCache>
                <c:formatCode>General</c:formatCode>
                <c:ptCount val="11"/>
                <c:pt idx="0">
                  <c:v>2</c:v>
                </c:pt>
                <c:pt idx="2">
                  <c:v>4</c:v>
                </c:pt>
                <c:pt idx="3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6-4B59-94B1-E77D4B1C88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8130848"/>
        <c:axId val="638131808"/>
      </c:barChart>
      <c:catAx>
        <c:axId val="6381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8131808"/>
        <c:crosses val="autoZero"/>
        <c:auto val="1"/>
        <c:lblAlgn val="ctr"/>
        <c:lblOffset val="100"/>
        <c:noMultiLvlLbl val="0"/>
      </c:catAx>
      <c:valAx>
        <c:axId val="638131808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813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COMPORTAMIENTO DE CASOS DE VARICELA INDIVIDUAL DESDE ENERO 2020 A JUNIO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3849916487711761E-2"/>
          <c:y val="0.17171296296296296"/>
          <c:w val="0.91226119462339939"/>
          <c:h val="0.48732540889416126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Data5!$A$1:$BN$1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 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Data5!$A$2:$BN$2</c:f>
              <c:numCache>
                <c:formatCode>General</c:formatCode>
                <c:ptCount val="66"/>
                <c:pt idx="0">
                  <c:v>69</c:v>
                </c:pt>
                <c:pt idx="1">
                  <c:v>103</c:v>
                </c:pt>
                <c:pt idx="2">
                  <c:v>62</c:v>
                </c:pt>
                <c:pt idx="3">
                  <c:v>30</c:v>
                </c:pt>
                <c:pt idx="4">
                  <c:v>23</c:v>
                </c:pt>
                <c:pt idx="5">
                  <c:v>24</c:v>
                </c:pt>
                <c:pt idx="6">
                  <c:v>17</c:v>
                </c:pt>
                <c:pt idx="7">
                  <c:v>24</c:v>
                </c:pt>
                <c:pt idx="8">
                  <c:v>20</c:v>
                </c:pt>
                <c:pt idx="9">
                  <c:v>23</c:v>
                </c:pt>
                <c:pt idx="10">
                  <c:v>25</c:v>
                </c:pt>
                <c:pt idx="11">
                  <c:v>43</c:v>
                </c:pt>
                <c:pt idx="12">
                  <c:v>12</c:v>
                </c:pt>
                <c:pt idx="13">
                  <c:v>20</c:v>
                </c:pt>
                <c:pt idx="14">
                  <c:v>27</c:v>
                </c:pt>
                <c:pt idx="15">
                  <c:v>24</c:v>
                </c:pt>
                <c:pt idx="16">
                  <c:v>11</c:v>
                </c:pt>
                <c:pt idx="17">
                  <c:v>8</c:v>
                </c:pt>
                <c:pt idx="18">
                  <c:v>27</c:v>
                </c:pt>
                <c:pt idx="19">
                  <c:v>19</c:v>
                </c:pt>
                <c:pt idx="20">
                  <c:v>45</c:v>
                </c:pt>
                <c:pt idx="21">
                  <c:v>39</c:v>
                </c:pt>
                <c:pt idx="22">
                  <c:v>33</c:v>
                </c:pt>
                <c:pt idx="23">
                  <c:v>37</c:v>
                </c:pt>
                <c:pt idx="24">
                  <c:v>35</c:v>
                </c:pt>
                <c:pt idx="25">
                  <c:v>27</c:v>
                </c:pt>
                <c:pt idx="26">
                  <c:v>55</c:v>
                </c:pt>
                <c:pt idx="27">
                  <c:v>104</c:v>
                </c:pt>
                <c:pt idx="28">
                  <c:v>111</c:v>
                </c:pt>
                <c:pt idx="29">
                  <c:v>66</c:v>
                </c:pt>
                <c:pt idx="30">
                  <c:v>58</c:v>
                </c:pt>
                <c:pt idx="31">
                  <c:v>64</c:v>
                </c:pt>
                <c:pt idx="32">
                  <c:v>55</c:v>
                </c:pt>
                <c:pt idx="33">
                  <c:v>57</c:v>
                </c:pt>
                <c:pt idx="34">
                  <c:v>64</c:v>
                </c:pt>
                <c:pt idx="35">
                  <c:v>30</c:v>
                </c:pt>
                <c:pt idx="36">
                  <c:v>22</c:v>
                </c:pt>
                <c:pt idx="37">
                  <c:v>51</c:v>
                </c:pt>
                <c:pt idx="38">
                  <c:v>59</c:v>
                </c:pt>
                <c:pt idx="39">
                  <c:v>47</c:v>
                </c:pt>
                <c:pt idx="40">
                  <c:v>93</c:v>
                </c:pt>
                <c:pt idx="41">
                  <c:v>101</c:v>
                </c:pt>
                <c:pt idx="42">
                  <c:v>81</c:v>
                </c:pt>
                <c:pt idx="43">
                  <c:v>104</c:v>
                </c:pt>
                <c:pt idx="44">
                  <c:v>98</c:v>
                </c:pt>
                <c:pt idx="45">
                  <c:v>141</c:v>
                </c:pt>
                <c:pt idx="46">
                  <c:v>66</c:v>
                </c:pt>
                <c:pt idx="47">
                  <c:v>59</c:v>
                </c:pt>
                <c:pt idx="48">
                  <c:v>30</c:v>
                </c:pt>
                <c:pt idx="49">
                  <c:v>38</c:v>
                </c:pt>
                <c:pt idx="50">
                  <c:v>73</c:v>
                </c:pt>
                <c:pt idx="51">
                  <c:v>96</c:v>
                </c:pt>
                <c:pt idx="52">
                  <c:v>67</c:v>
                </c:pt>
                <c:pt idx="53">
                  <c:v>67</c:v>
                </c:pt>
                <c:pt idx="54">
                  <c:v>62</c:v>
                </c:pt>
                <c:pt idx="55">
                  <c:v>70</c:v>
                </c:pt>
                <c:pt idx="56">
                  <c:v>63</c:v>
                </c:pt>
                <c:pt idx="57">
                  <c:v>54</c:v>
                </c:pt>
                <c:pt idx="58">
                  <c:v>53</c:v>
                </c:pt>
                <c:pt idx="59">
                  <c:v>43</c:v>
                </c:pt>
                <c:pt idx="60">
                  <c:v>36</c:v>
                </c:pt>
                <c:pt idx="61">
                  <c:v>70</c:v>
                </c:pt>
                <c:pt idx="62">
                  <c:v>73</c:v>
                </c:pt>
                <c:pt idx="63">
                  <c:v>87</c:v>
                </c:pt>
                <c:pt idx="64">
                  <c:v>103</c:v>
                </c:pt>
                <c:pt idx="65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9-4FDB-98D3-DD2105C9CA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46027488"/>
        <c:axId val="446027968"/>
      </c:lineChart>
      <c:catAx>
        <c:axId val="44602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6027968"/>
        <c:crosses val="autoZero"/>
        <c:auto val="1"/>
        <c:lblAlgn val="ctr"/>
        <c:lblOffset val="100"/>
        <c:noMultiLvlLbl val="0"/>
      </c:catAx>
      <c:valAx>
        <c:axId val="44602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60274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NÚMERO DE CASOS DE VARICELA INDIVIDUAL POR ETNIA</a:t>
            </a:r>
            <a:endParaRPr lang="es-CO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effectLst/>
            </a:endParaRPr>
          </a:p>
          <a:p>
            <a:pPr>
              <a:defRPr/>
            </a:pPr>
            <a:r>
              <a:rPr lang="es-CO" sz="8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enero 2020 a junio 2025</a:t>
            </a:r>
            <a:endParaRPr lang="es-CO" sz="8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1302390619975934E-2"/>
          <c:y val="0.13308216720487981"/>
          <c:w val="0.90563967965542769"/>
          <c:h val="0.57046349623387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Data6!$C$1</c:f>
              <c:strCache>
                <c:ptCount val="1"/>
                <c:pt idx="0">
                  <c:v>INDIGENA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Data6!$C$2:$C$12</c:f>
              <c:numCache>
                <c:formatCode>General</c:formatCode>
                <c:ptCount val="11"/>
                <c:pt idx="0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8-442F-BAAD-9C261D3C298F}"/>
            </c:ext>
          </c:extLst>
        </c:ser>
        <c:ser>
          <c:idx val="1"/>
          <c:order val="1"/>
          <c:tx>
            <c:strRef>
              <c:f>Data6!$D$1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Data6!$D$2:$D$12</c:f>
              <c:numCache>
                <c:formatCode>General</c:formatCode>
                <c:ptCount val="11"/>
                <c:pt idx="0">
                  <c:v>309</c:v>
                </c:pt>
                <c:pt idx="1">
                  <c:v>151</c:v>
                </c:pt>
                <c:pt idx="2">
                  <c:v>100</c:v>
                </c:pt>
                <c:pt idx="3">
                  <c:v>195</c:v>
                </c:pt>
                <c:pt idx="4">
                  <c:v>395</c:v>
                </c:pt>
                <c:pt idx="5">
                  <c:v>323</c:v>
                </c:pt>
                <c:pt idx="6">
                  <c:v>366</c:v>
                </c:pt>
                <c:pt idx="7">
                  <c:v>545</c:v>
                </c:pt>
                <c:pt idx="8">
                  <c:v>368</c:v>
                </c:pt>
                <c:pt idx="9">
                  <c:v>344</c:v>
                </c:pt>
                <c:pt idx="10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8-442F-BAAD-9C261D3C298F}"/>
            </c:ext>
          </c:extLst>
        </c:ser>
        <c:ser>
          <c:idx val="2"/>
          <c:order val="2"/>
          <c:tx>
            <c:strRef>
              <c:f>Data6!$E$1</c:f>
              <c:strCache>
                <c:ptCount val="1"/>
                <c:pt idx="0">
                  <c:v>PALENQUERO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Data6!$E$2:$E$12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B8-442F-BAAD-9C261D3C298F}"/>
            </c:ext>
          </c:extLst>
        </c:ser>
        <c:ser>
          <c:idx val="3"/>
          <c:order val="3"/>
          <c:tx>
            <c:strRef>
              <c:f>Data6!$F$1</c:f>
              <c:strCache>
                <c:ptCount val="1"/>
                <c:pt idx="0">
                  <c:v>RAIZAL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Data6!$F$2:$F$12</c:f>
              <c:numCache>
                <c:formatCode>General</c:formatCode>
                <c:ptCount val="1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B8-442F-BAAD-9C261D3C298F}"/>
            </c:ext>
          </c:extLst>
        </c:ser>
        <c:ser>
          <c:idx val="4"/>
          <c:order val="4"/>
          <c:tx>
            <c:strRef>
              <c:f>Data6!$G$1</c:f>
              <c:strCache>
                <c:ptCount val="1"/>
                <c:pt idx="0">
                  <c:v>GITANO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Data6!$G$2:$G$12</c:f>
              <c:numCache>
                <c:formatCode>General</c:formatCode>
                <c:ptCount val="11"/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B8-442F-BAAD-9C261D3C298F}"/>
            </c:ext>
          </c:extLst>
        </c:ser>
        <c:ser>
          <c:idx val="5"/>
          <c:order val="5"/>
          <c:tx>
            <c:strRef>
              <c:f>Data6!$H$1</c:f>
              <c:strCache>
                <c:ptCount val="1"/>
                <c:pt idx="0">
                  <c:v>AFRO COLOMBIANO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Data6!$H$2:$H$12</c:f>
              <c:numCache>
                <c:formatCode>General</c:formatCode>
                <c:ptCount val="11"/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B8-442F-BAAD-9C261D3C2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623456"/>
        <c:axId val="1848626336"/>
      </c:barChart>
      <c:catAx>
        <c:axId val="184862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626336"/>
        <c:crosses val="autoZero"/>
        <c:auto val="1"/>
        <c:lblAlgn val="ctr"/>
        <c:lblOffset val="100"/>
        <c:noMultiLvlLbl val="0"/>
      </c:catAx>
      <c:valAx>
        <c:axId val="18486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62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20</xdr:row>
      <xdr:rowOff>163830</xdr:rowOff>
    </xdr:from>
    <xdr:to>
      <xdr:col>9</xdr:col>
      <xdr:colOff>152400</xdr:colOff>
      <xdr:row>40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91E5FE-C822-9B69-158E-CA05E5538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11430</xdr:rowOff>
    </xdr:from>
    <xdr:to>
      <xdr:col>6</xdr:col>
      <xdr:colOff>609600</xdr:colOff>
      <xdr:row>26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C369C9-B76F-45DE-3130-415357EC9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0.49167</cdr:x>
      <cdr:y>0.86221</cdr:y>
    </cdr:from>
    <cdr:to>
      <cdr:x>0.61168</cdr:x>
      <cdr:y>0.97778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69AD9D8-EBA7-6968-04F7-80947419B94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47900" y="2365221"/>
          <a:ext cx="548688" cy="31701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0.03201</cdr:x>
      <cdr:y>0.35694</cdr:y>
    </cdr:from>
    <cdr:to>
      <cdr:x>0.08801</cdr:x>
      <cdr:y>0.67447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4E925B4C-F729-6C83-0B70-19E0E1257F4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161142" y="1286658"/>
          <a:ext cx="871030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20</xdr:row>
      <xdr:rowOff>171450</xdr:rowOff>
    </xdr:from>
    <xdr:to>
      <xdr:col>9</xdr:col>
      <xdr:colOff>678180</xdr:colOff>
      <xdr:row>43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A4E00A-1A38-1B20-00F7-85E87A4B3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0.41783</cdr:x>
      <cdr:y>0.84217</cdr:y>
    </cdr:from>
    <cdr:to>
      <cdr:x>0.59056</cdr:x>
      <cdr:y>0.92857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97609AD-CB96-6D6B-9B97-A04570CD9B2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964180" y="3430060"/>
          <a:ext cx="1225402" cy="3519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0.02213</cdr:x>
      <cdr:y>0.29158</cdr:y>
    </cdr:from>
    <cdr:to>
      <cdr:x>0.06682</cdr:x>
      <cdr:y>0.60895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6479D173-07B3-2071-135A-BF7C8ED866F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266700" y="1493520"/>
          <a:ext cx="1164437" cy="317019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434338</xdr:colOff>
      <xdr:row>9</xdr:row>
      <xdr:rowOff>140970</xdr:rowOff>
    </xdr:from>
    <xdr:to>
      <xdr:col>15</xdr:col>
      <xdr:colOff>571499</xdr:colOff>
      <xdr:row>30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FFD3E2-DDD8-230A-7622-F8350F589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0.01652</cdr:x>
      <cdr:y>0.29444</cdr:y>
    </cdr:from>
    <cdr:to>
      <cdr:x>0.04804</cdr:x>
      <cdr:y>0.61781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6C9D379-00F7-0B03-21D1-3E766ABD375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118848" y="1092733"/>
          <a:ext cx="887045" cy="31701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0.46364</cdr:x>
      <cdr:y>0.909</cdr:y>
    </cdr:from>
    <cdr:to>
      <cdr:x>0.55334</cdr:x>
      <cdr:y>0.98501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4D7C449B-C4BC-3398-EF17-1BAA501962A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794158" y="3425190"/>
          <a:ext cx="927577" cy="286416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21</xdr:row>
      <xdr:rowOff>57150</xdr:rowOff>
    </xdr:from>
    <xdr:to>
      <xdr:col>12</xdr:col>
      <xdr:colOff>236220</xdr:colOff>
      <xdr:row>41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89551C-797B-1EA5-A476-82066A1DD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0.02351</cdr:x>
      <cdr:y>0.31231</cdr:y>
    </cdr:from>
    <cdr:to>
      <cdr:x>0.04744</cdr:x>
      <cdr:y>0.50174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02C974B7-E01F-C781-8BAF-FA96B85AF6E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24769" y="1396369"/>
          <a:ext cx="709452" cy="25605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0.44658</cdr:x>
      <cdr:y>0.83825</cdr:y>
    </cdr:from>
    <cdr:to>
      <cdr:x>0.54175</cdr:x>
      <cdr:y>0.90662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ACD2E96A-5BAB-761E-10B9-4F129936128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4777740" y="3139440"/>
          <a:ext cx="1018120" cy="256054"/>
        </a:xfrm>
        <a:prstGeom xmlns:a="http://schemas.openxmlformats.org/drawingml/2006/main" prst="rect">
          <a:avLst/>
        </a:prstGeom>
      </cdr:spPr>
    </cdr:pic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D396-8B5F-48B3-AA23-64A1A09C1417}">
  <dimension ref="A1:B6"/>
  <sheetViews>
    <sheetView workbookViewId="0">
      <selection activeCell="B4" sqref="B4"/>
    </sheetView>
  </sheetViews>
  <sheetFormatPr baseColWidth="10" defaultRowHeight="14.25"/>
  <sheetData>
    <row r="1" spans="1:2" ht="15">
      <c r="A1" s="9" t="s">
        <v>122</v>
      </c>
      <c r="B1" s="9" t="s">
        <v>123</v>
      </c>
    </row>
    <row r="2" spans="1:2" ht="15">
      <c r="A2" s="9" t="s">
        <v>124</v>
      </c>
      <c r="B2" s="9" t="s">
        <v>132</v>
      </c>
    </row>
    <row r="3" spans="1:2" ht="15">
      <c r="A3" s="9" t="s">
        <v>125</v>
      </c>
      <c r="B3" s="9" t="s">
        <v>220</v>
      </c>
    </row>
    <row r="4" spans="1:2" ht="15">
      <c r="A4" s="9" t="s">
        <v>126</v>
      </c>
      <c r="B4" s="9" t="s">
        <v>127</v>
      </c>
    </row>
    <row r="5" spans="1:2" ht="15">
      <c r="A5" s="9" t="s">
        <v>128</v>
      </c>
      <c r="B5" s="9" t="s">
        <v>129</v>
      </c>
    </row>
    <row r="6" spans="1:2" ht="15">
      <c r="A6" t="s">
        <v>130</v>
      </c>
      <c r="B6" s="9" t="s">
        <v>131</v>
      </c>
    </row>
  </sheetData>
  <hyperlinks>
    <hyperlink ref="B6" r:id="rId1" display="https://www.medicinalegal.gov.co/indicadores-procuraduria" xr:uid="{5982231D-34FF-4897-97AB-908ED7B428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815D-86EE-44E6-9193-2494FEF65159}">
  <dimension ref="A1:I20"/>
  <sheetViews>
    <sheetView workbookViewId="0">
      <selection activeCell="C18" sqref="C18"/>
    </sheetView>
  </sheetViews>
  <sheetFormatPr baseColWidth="10" defaultRowHeight="14.25"/>
  <cols>
    <col min="1" max="2" width="13.875" customWidth="1"/>
    <col min="3" max="3" width="19.625" customWidth="1"/>
    <col min="4" max="4" width="15.375" customWidth="1"/>
    <col min="5" max="5" width="20.375" customWidth="1"/>
    <col min="6" max="6" width="16.375" customWidth="1"/>
    <col min="7" max="7" width="16.75" customWidth="1"/>
    <col min="8" max="8" width="17" customWidth="1"/>
    <col min="9" max="9" width="11.375" customWidth="1"/>
  </cols>
  <sheetData>
    <row r="1" spans="1:9" ht="27" customHeight="1">
      <c r="A1" s="1" t="s">
        <v>110</v>
      </c>
      <c r="B1" s="1" t="s">
        <v>154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  <c r="H1" s="6" t="s">
        <v>116</v>
      </c>
      <c r="I1" s="7" t="s">
        <v>117</v>
      </c>
    </row>
    <row r="2" spans="1:9" ht="15">
      <c r="A2" s="3">
        <v>2020</v>
      </c>
      <c r="B2" s="3" t="s">
        <v>215</v>
      </c>
      <c r="C2" s="4">
        <v>54</v>
      </c>
      <c r="D2" s="4">
        <v>106</v>
      </c>
      <c r="E2" s="4">
        <v>45</v>
      </c>
      <c r="F2" s="4">
        <v>64</v>
      </c>
      <c r="G2" s="4">
        <v>38</v>
      </c>
      <c r="H2" s="4">
        <v>4</v>
      </c>
      <c r="I2" s="4">
        <f>SUM(C2:H2)</f>
        <v>311</v>
      </c>
    </row>
    <row r="3" spans="1:9" ht="15">
      <c r="A3" s="3">
        <v>2020</v>
      </c>
      <c r="B3" s="3" t="s">
        <v>216</v>
      </c>
      <c r="C3" s="4">
        <v>21</v>
      </c>
      <c r="D3" s="4">
        <v>32</v>
      </c>
      <c r="E3" s="4">
        <v>21</v>
      </c>
      <c r="F3" s="4">
        <v>28</v>
      </c>
      <c r="G3" s="4">
        <v>39</v>
      </c>
      <c r="H3" s="4">
        <v>11</v>
      </c>
      <c r="I3" s="4">
        <f t="shared" ref="I3:I9" si="0">SUM(C3:H3)</f>
        <v>152</v>
      </c>
    </row>
    <row r="4" spans="1:9" ht="15">
      <c r="A4" s="3">
        <v>2021</v>
      </c>
      <c r="B4" s="3" t="s">
        <v>215</v>
      </c>
      <c r="C4" s="4">
        <v>16</v>
      </c>
      <c r="D4" s="4">
        <v>21</v>
      </c>
      <c r="E4" s="4">
        <v>11</v>
      </c>
      <c r="F4" s="4">
        <v>32</v>
      </c>
      <c r="G4" s="4">
        <v>18</v>
      </c>
      <c r="H4" s="4">
        <v>4</v>
      </c>
      <c r="I4" s="4">
        <f t="shared" si="0"/>
        <v>102</v>
      </c>
    </row>
    <row r="5" spans="1:9" ht="15">
      <c r="A5" s="3">
        <v>2021</v>
      </c>
      <c r="B5" s="3" t="s">
        <v>216</v>
      </c>
      <c r="C5" s="4">
        <v>73</v>
      </c>
      <c r="D5" s="4">
        <v>34</v>
      </c>
      <c r="E5" s="4">
        <v>17</v>
      </c>
      <c r="F5" s="4">
        <v>49</v>
      </c>
      <c r="G5" s="4">
        <v>23</v>
      </c>
      <c r="H5" s="4">
        <v>4</v>
      </c>
      <c r="I5" s="4">
        <f t="shared" si="0"/>
        <v>200</v>
      </c>
    </row>
    <row r="6" spans="1:9" ht="15">
      <c r="A6" s="3">
        <v>2022</v>
      </c>
      <c r="B6" s="3" t="s">
        <v>215</v>
      </c>
      <c r="C6" s="4">
        <v>142</v>
      </c>
      <c r="D6" s="4">
        <v>82</v>
      </c>
      <c r="E6" s="4">
        <v>77</v>
      </c>
      <c r="F6" s="4">
        <v>68</v>
      </c>
      <c r="G6" s="4">
        <v>26</v>
      </c>
      <c r="H6" s="4">
        <v>3</v>
      </c>
      <c r="I6" s="4">
        <f t="shared" si="0"/>
        <v>398</v>
      </c>
    </row>
    <row r="7" spans="1:9" ht="15">
      <c r="A7" s="3">
        <v>2022</v>
      </c>
      <c r="B7" s="3" t="s">
        <v>216</v>
      </c>
      <c r="C7" s="4">
        <v>68</v>
      </c>
      <c r="D7" s="4">
        <v>85</v>
      </c>
      <c r="E7" s="4">
        <v>67</v>
      </c>
      <c r="F7" s="4">
        <v>72</v>
      </c>
      <c r="G7" s="4">
        <v>32</v>
      </c>
      <c r="H7" s="4">
        <v>4</v>
      </c>
      <c r="I7" s="4">
        <f t="shared" si="0"/>
        <v>328</v>
      </c>
    </row>
    <row r="8" spans="1:9" ht="15">
      <c r="A8" s="3">
        <v>2023</v>
      </c>
      <c r="B8" s="3" t="s">
        <v>215</v>
      </c>
      <c r="C8" s="4">
        <v>126</v>
      </c>
      <c r="D8" s="4">
        <v>72</v>
      </c>
      <c r="E8" s="4">
        <v>63</v>
      </c>
      <c r="F8" s="4">
        <v>66</v>
      </c>
      <c r="G8" s="4">
        <v>40</v>
      </c>
      <c r="H8" s="4">
        <v>6</v>
      </c>
      <c r="I8" s="4">
        <f t="shared" si="0"/>
        <v>373</v>
      </c>
    </row>
    <row r="9" spans="1:9" ht="15">
      <c r="A9" s="3">
        <v>2023</v>
      </c>
      <c r="B9" s="3" t="s">
        <v>216</v>
      </c>
      <c r="C9" s="4">
        <v>124</v>
      </c>
      <c r="D9" s="4">
        <v>93</v>
      </c>
      <c r="E9" s="4">
        <v>102</v>
      </c>
      <c r="F9" s="4">
        <v>137</v>
      </c>
      <c r="G9" s="4">
        <v>86</v>
      </c>
      <c r="H9" s="4">
        <v>7</v>
      </c>
      <c r="I9" s="4">
        <f t="shared" si="0"/>
        <v>549</v>
      </c>
    </row>
    <row r="10" spans="1:9" ht="15">
      <c r="A10" s="3">
        <v>2024</v>
      </c>
      <c r="B10" s="16" t="s">
        <v>215</v>
      </c>
      <c r="C10" s="20" t="s">
        <v>249</v>
      </c>
      <c r="D10" s="20" t="s">
        <v>249</v>
      </c>
      <c r="E10" s="20" t="s">
        <v>249</v>
      </c>
      <c r="F10" s="20" t="s">
        <v>249</v>
      </c>
      <c r="G10" s="20" t="s">
        <v>249</v>
      </c>
      <c r="H10" s="20" t="s">
        <v>249</v>
      </c>
      <c r="I10" s="20">
        <v>371</v>
      </c>
    </row>
    <row r="11" spans="1:9" ht="15">
      <c r="A11" s="3">
        <v>2024</v>
      </c>
      <c r="B11" s="16" t="s">
        <v>216</v>
      </c>
      <c r="C11" s="20" t="s">
        <v>249</v>
      </c>
      <c r="D11" s="20" t="s">
        <v>249</v>
      </c>
      <c r="E11" s="20" t="s">
        <v>249</v>
      </c>
      <c r="F11" s="20" t="s">
        <v>249</v>
      </c>
      <c r="G11" s="20" t="s">
        <v>249</v>
      </c>
      <c r="H11" s="20" t="s">
        <v>249</v>
      </c>
      <c r="I11" s="20">
        <v>345</v>
      </c>
    </row>
    <row r="12" spans="1:9" ht="15">
      <c r="A12" s="3">
        <v>2025</v>
      </c>
      <c r="B12" s="16" t="s">
        <v>215</v>
      </c>
      <c r="C12" s="20" t="s">
        <v>249</v>
      </c>
      <c r="D12" s="20" t="s">
        <v>249</v>
      </c>
      <c r="E12" s="20" t="s">
        <v>249</v>
      </c>
      <c r="F12" s="20" t="s">
        <v>249</v>
      </c>
      <c r="G12" s="20" t="s">
        <v>249</v>
      </c>
      <c r="H12" s="20" t="s">
        <v>249</v>
      </c>
      <c r="I12" s="20">
        <v>458</v>
      </c>
    </row>
    <row r="13" spans="1:9" ht="15">
      <c r="A13" s="8" t="s">
        <v>121</v>
      </c>
      <c r="B13" s="8"/>
      <c r="C13" s="4">
        <f t="shared" ref="C13:I13" si="1">SUM(C2:C9)</f>
        <v>624</v>
      </c>
      <c r="D13" s="4">
        <f t="shared" si="1"/>
        <v>525</v>
      </c>
      <c r="E13" s="4">
        <f t="shared" si="1"/>
        <v>403</v>
      </c>
      <c r="F13" s="4">
        <f t="shared" si="1"/>
        <v>516</v>
      </c>
      <c r="G13" s="4">
        <f t="shared" si="1"/>
        <v>302</v>
      </c>
      <c r="H13" s="4">
        <f t="shared" si="1"/>
        <v>43</v>
      </c>
      <c r="I13" s="4">
        <f>SUM(I2:I12)</f>
        <v>3587</v>
      </c>
    </row>
    <row r="15" spans="1:9" ht="15">
      <c r="A15" s="9" t="s">
        <v>125</v>
      </c>
      <c r="B15" s="9"/>
      <c r="C15" s="9" t="s">
        <v>222</v>
      </c>
      <c r="D15" s="9"/>
    </row>
    <row r="16" spans="1:9" ht="15">
      <c r="A16" s="9" t="s">
        <v>124</v>
      </c>
      <c r="B16" s="9"/>
      <c r="C16" s="9" t="s">
        <v>221</v>
      </c>
      <c r="D16" s="9"/>
    </row>
    <row r="17" spans="1:4" ht="15">
      <c r="A17" s="9" t="s">
        <v>133</v>
      </c>
      <c r="B17" s="9"/>
      <c r="C17" s="9" t="s">
        <v>146</v>
      </c>
      <c r="D17" s="9"/>
    </row>
    <row r="18" spans="1:4" ht="15">
      <c r="A18" s="9" t="s">
        <v>134</v>
      </c>
      <c r="B18" s="9"/>
      <c r="C18" s="9" t="s">
        <v>135</v>
      </c>
      <c r="D18" s="9"/>
    </row>
    <row r="19" spans="1:4" ht="15">
      <c r="A19" s="9"/>
      <c r="B19" s="9"/>
      <c r="C19" s="9"/>
      <c r="D19" s="9"/>
    </row>
    <row r="20" spans="1:4" ht="15">
      <c r="A20" s="9" t="s">
        <v>136</v>
      </c>
      <c r="B20" s="9"/>
      <c r="C20" s="9" t="s">
        <v>137</v>
      </c>
      <c r="D20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E346-DCDC-4721-8821-84D8F6727B51}">
  <dimension ref="A1:D741"/>
  <sheetViews>
    <sheetView topLeftCell="A722" workbookViewId="0">
      <selection activeCell="B741" sqref="B741"/>
    </sheetView>
  </sheetViews>
  <sheetFormatPr baseColWidth="10" defaultRowHeight="14.25"/>
  <cols>
    <col min="6" max="6" width="17.875" bestFit="1" customWidth="1"/>
    <col min="7" max="7" width="16.125" bestFit="1" customWidth="1"/>
    <col min="8" max="8" width="6.125" bestFit="1" customWidth="1"/>
    <col min="9" max="9" width="14.625" bestFit="1" customWidth="1"/>
    <col min="10" max="10" width="11.125" bestFit="1" customWidth="1"/>
    <col min="11" max="11" width="12.625" bestFit="1" customWidth="1"/>
  </cols>
  <sheetData>
    <row r="1" spans="1:4">
      <c r="A1" s="4" t="s">
        <v>141</v>
      </c>
      <c r="B1" s="4" t="s">
        <v>109</v>
      </c>
      <c r="C1" s="4" t="s">
        <v>143</v>
      </c>
      <c r="D1" s="4" t="s">
        <v>142</v>
      </c>
    </row>
    <row r="2" spans="1:4">
      <c r="A2" s="21">
        <v>15106</v>
      </c>
      <c r="B2" s="21">
        <v>2020</v>
      </c>
      <c r="C2" t="s">
        <v>119</v>
      </c>
      <c r="D2">
        <v>1</v>
      </c>
    </row>
    <row r="3" spans="1:4">
      <c r="A3" s="21">
        <v>15106</v>
      </c>
      <c r="B3" s="21" t="s">
        <v>248</v>
      </c>
      <c r="C3" t="s">
        <v>120</v>
      </c>
      <c r="D3">
        <v>1</v>
      </c>
    </row>
    <row r="4" spans="1:4">
      <c r="A4" s="21">
        <v>15106</v>
      </c>
      <c r="B4" s="21" t="s">
        <v>248</v>
      </c>
      <c r="C4" t="s">
        <v>119</v>
      </c>
      <c r="D4">
        <v>2</v>
      </c>
    </row>
    <row r="5" spans="1:4">
      <c r="A5" s="21">
        <v>15368</v>
      </c>
      <c r="B5" s="21">
        <v>2022</v>
      </c>
      <c r="C5" t="s">
        <v>120</v>
      </c>
      <c r="D5">
        <v>1</v>
      </c>
    </row>
    <row r="6" spans="1:4">
      <c r="A6" s="21">
        <v>15368</v>
      </c>
      <c r="B6" s="21" t="s">
        <v>243</v>
      </c>
      <c r="C6" t="s">
        <v>119</v>
      </c>
      <c r="D6">
        <v>1</v>
      </c>
    </row>
    <row r="7" spans="1:4">
      <c r="A7" s="21" t="s">
        <v>256</v>
      </c>
      <c r="B7" s="21" t="s">
        <v>248</v>
      </c>
      <c r="C7" t="s">
        <v>120</v>
      </c>
      <c r="D7">
        <v>2</v>
      </c>
    </row>
    <row r="8" spans="1:4">
      <c r="A8" s="21" t="s">
        <v>256</v>
      </c>
      <c r="B8" s="21" t="s">
        <v>248</v>
      </c>
      <c r="C8" t="s">
        <v>119</v>
      </c>
      <c r="D8">
        <v>1</v>
      </c>
    </row>
    <row r="9" spans="1:4">
      <c r="A9" s="21" t="s">
        <v>245</v>
      </c>
      <c r="B9" s="21">
        <v>2020</v>
      </c>
      <c r="C9" t="s">
        <v>119</v>
      </c>
      <c r="D9">
        <v>5</v>
      </c>
    </row>
    <row r="10" spans="1:4">
      <c r="A10" s="21" t="s">
        <v>245</v>
      </c>
      <c r="B10" s="21" t="s">
        <v>243</v>
      </c>
      <c r="C10" t="s">
        <v>120</v>
      </c>
      <c r="D10">
        <v>1</v>
      </c>
    </row>
    <row r="11" spans="1:4">
      <c r="A11" s="21" t="s">
        <v>245</v>
      </c>
      <c r="B11" s="21" t="s">
        <v>243</v>
      </c>
      <c r="C11" t="s">
        <v>119</v>
      </c>
      <c r="D11">
        <v>2</v>
      </c>
    </row>
    <row r="12" spans="1:4">
      <c r="A12" s="21" t="s">
        <v>260</v>
      </c>
      <c r="B12" s="21" t="s">
        <v>248</v>
      </c>
      <c r="C12" t="s">
        <v>120</v>
      </c>
      <c r="D12">
        <v>1</v>
      </c>
    </row>
    <row r="13" spans="1:4">
      <c r="A13" s="21" t="s">
        <v>251</v>
      </c>
      <c r="B13" s="21" t="s">
        <v>248</v>
      </c>
      <c r="C13" t="s">
        <v>119</v>
      </c>
      <c r="D13">
        <v>1</v>
      </c>
    </row>
    <row r="14" spans="1:4">
      <c r="A14" s="21" t="s">
        <v>255</v>
      </c>
      <c r="B14" s="21" t="s">
        <v>248</v>
      </c>
      <c r="C14" t="s">
        <v>119</v>
      </c>
      <c r="D14">
        <v>1</v>
      </c>
    </row>
    <row r="15" spans="1:4">
      <c r="A15" s="21" t="s">
        <v>254</v>
      </c>
      <c r="B15" s="21" t="s">
        <v>248</v>
      </c>
      <c r="C15" t="s">
        <v>120</v>
      </c>
      <c r="D15">
        <v>1</v>
      </c>
    </row>
    <row r="16" spans="1:4">
      <c r="A16" s="21" t="s">
        <v>261</v>
      </c>
      <c r="B16" s="21" t="s">
        <v>248</v>
      </c>
      <c r="C16" t="s">
        <v>120</v>
      </c>
      <c r="D16">
        <v>1</v>
      </c>
    </row>
    <row r="17" spans="1:4">
      <c r="A17" s="21" t="s">
        <v>1</v>
      </c>
      <c r="B17" s="21">
        <v>2020</v>
      </c>
      <c r="C17" t="s">
        <v>120</v>
      </c>
      <c r="D17">
        <v>44</v>
      </c>
    </row>
    <row r="18" spans="1:4">
      <c r="A18" s="21" t="s">
        <v>1</v>
      </c>
      <c r="B18" s="21">
        <v>2020</v>
      </c>
      <c r="C18" t="s">
        <v>119</v>
      </c>
      <c r="D18">
        <v>35</v>
      </c>
    </row>
    <row r="19" spans="1:4">
      <c r="A19" s="21" t="s">
        <v>1</v>
      </c>
      <c r="B19" s="21">
        <v>2021</v>
      </c>
      <c r="C19" t="s">
        <v>120</v>
      </c>
      <c r="D19">
        <v>20</v>
      </c>
    </row>
    <row r="20" spans="1:4">
      <c r="A20" s="21" t="s">
        <v>1</v>
      </c>
      <c r="B20" s="21">
        <v>2021</v>
      </c>
      <c r="C20" t="s">
        <v>119</v>
      </c>
      <c r="D20">
        <v>28</v>
      </c>
    </row>
    <row r="21" spans="1:4">
      <c r="A21" s="21" t="s">
        <v>1</v>
      </c>
      <c r="B21" s="21">
        <v>2022</v>
      </c>
      <c r="C21" t="s">
        <v>120</v>
      </c>
      <c r="D21">
        <v>62</v>
      </c>
    </row>
    <row r="22" spans="1:4">
      <c r="A22" s="21" t="s">
        <v>1</v>
      </c>
      <c r="B22" s="21">
        <v>2022</v>
      </c>
      <c r="C22" t="s">
        <v>119</v>
      </c>
      <c r="D22">
        <v>58</v>
      </c>
    </row>
    <row r="23" spans="1:4">
      <c r="A23" s="21" t="s">
        <v>1</v>
      </c>
      <c r="B23" s="21">
        <v>2023</v>
      </c>
      <c r="C23" t="s">
        <v>120</v>
      </c>
      <c r="D23">
        <v>78</v>
      </c>
    </row>
    <row r="24" spans="1:4">
      <c r="A24" s="21" t="s">
        <v>1</v>
      </c>
      <c r="B24" s="21">
        <v>2023</v>
      </c>
      <c r="C24" t="s">
        <v>119</v>
      </c>
      <c r="D24">
        <v>55</v>
      </c>
    </row>
    <row r="25" spans="1:4">
      <c r="A25" s="21" t="s">
        <v>1</v>
      </c>
      <c r="B25" s="21" t="s">
        <v>243</v>
      </c>
      <c r="C25" t="s">
        <v>120</v>
      </c>
      <c r="D25">
        <v>57</v>
      </c>
    </row>
    <row r="26" spans="1:4">
      <c r="A26" s="21" t="s">
        <v>1</v>
      </c>
      <c r="B26" s="21" t="s">
        <v>243</v>
      </c>
      <c r="C26" t="s">
        <v>119</v>
      </c>
      <c r="D26">
        <v>68</v>
      </c>
    </row>
    <row r="27" spans="1:4">
      <c r="A27" s="21" t="s">
        <v>1</v>
      </c>
      <c r="B27" s="21" t="s">
        <v>248</v>
      </c>
      <c r="C27" t="s">
        <v>120</v>
      </c>
      <c r="D27">
        <v>37</v>
      </c>
    </row>
    <row r="28" spans="1:4">
      <c r="A28" s="21" t="s">
        <v>1</v>
      </c>
      <c r="B28" s="21" t="s">
        <v>248</v>
      </c>
      <c r="C28" t="s">
        <v>119</v>
      </c>
      <c r="D28">
        <v>26</v>
      </c>
    </row>
    <row r="29" spans="1:4">
      <c r="A29" s="21" t="s">
        <v>106</v>
      </c>
      <c r="B29" s="21">
        <v>2023</v>
      </c>
      <c r="C29" t="s">
        <v>120</v>
      </c>
      <c r="D29">
        <v>2</v>
      </c>
    </row>
    <row r="30" spans="1:4">
      <c r="A30" s="21" t="s">
        <v>106</v>
      </c>
      <c r="B30" s="21" t="s">
        <v>243</v>
      </c>
      <c r="C30" t="s">
        <v>119</v>
      </c>
      <c r="D30">
        <v>2</v>
      </c>
    </row>
    <row r="31" spans="1:4">
      <c r="A31" s="21" t="s">
        <v>48</v>
      </c>
      <c r="B31" s="21">
        <v>2020</v>
      </c>
      <c r="C31" t="s">
        <v>120</v>
      </c>
      <c r="D31">
        <v>5</v>
      </c>
    </row>
    <row r="32" spans="1:4">
      <c r="A32" s="21" t="s">
        <v>48</v>
      </c>
      <c r="B32" s="21">
        <v>2022</v>
      </c>
      <c r="C32" t="s">
        <v>120</v>
      </c>
      <c r="D32">
        <v>1</v>
      </c>
    </row>
    <row r="33" spans="1:4">
      <c r="A33" s="21" t="s">
        <v>48</v>
      </c>
      <c r="B33" s="21">
        <v>2022</v>
      </c>
      <c r="C33" t="s">
        <v>119</v>
      </c>
      <c r="D33">
        <v>1</v>
      </c>
    </row>
    <row r="34" spans="1:4">
      <c r="A34" s="21" t="s">
        <v>48</v>
      </c>
      <c r="B34" s="21">
        <v>2023</v>
      </c>
      <c r="C34" t="s">
        <v>120</v>
      </c>
      <c r="D34">
        <v>1</v>
      </c>
    </row>
    <row r="35" spans="1:4">
      <c r="A35" s="21" t="s">
        <v>48</v>
      </c>
      <c r="B35" s="21">
        <v>2023</v>
      </c>
      <c r="C35" t="s">
        <v>119</v>
      </c>
      <c r="D35">
        <v>3</v>
      </c>
    </row>
    <row r="36" spans="1:4">
      <c r="A36" s="21" t="s">
        <v>48</v>
      </c>
      <c r="B36" s="21" t="s">
        <v>248</v>
      </c>
      <c r="C36" t="s">
        <v>120</v>
      </c>
      <c r="D36">
        <v>1</v>
      </c>
    </row>
    <row r="37" spans="1:4">
      <c r="A37" s="21" t="s">
        <v>48</v>
      </c>
      <c r="B37" s="21" t="s">
        <v>248</v>
      </c>
      <c r="C37" t="s">
        <v>119</v>
      </c>
      <c r="D37">
        <v>1</v>
      </c>
    </row>
    <row r="38" spans="1:4">
      <c r="A38" s="21" t="s">
        <v>53</v>
      </c>
      <c r="B38" s="21">
        <v>2020</v>
      </c>
      <c r="C38" t="s">
        <v>119</v>
      </c>
      <c r="D38">
        <v>1</v>
      </c>
    </row>
    <row r="39" spans="1:4">
      <c r="A39" s="21" t="s">
        <v>53</v>
      </c>
      <c r="B39" s="21">
        <v>2021</v>
      </c>
      <c r="C39" t="s">
        <v>120</v>
      </c>
      <c r="D39">
        <v>1</v>
      </c>
    </row>
    <row r="40" spans="1:4">
      <c r="A40" s="21" t="s">
        <v>53</v>
      </c>
      <c r="B40" s="21">
        <v>2022</v>
      </c>
      <c r="C40" t="s">
        <v>120</v>
      </c>
      <c r="D40">
        <v>1</v>
      </c>
    </row>
    <row r="41" spans="1:4">
      <c r="A41" s="21" t="s">
        <v>53</v>
      </c>
      <c r="B41" s="21" t="s">
        <v>243</v>
      </c>
      <c r="C41" t="s">
        <v>120</v>
      </c>
      <c r="D41">
        <v>2</v>
      </c>
    </row>
    <row r="42" spans="1:4">
      <c r="A42" s="21" t="s">
        <v>53</v>
      </c>
      <c r="B42" s="21" t="s">
        <v>243</v>
      </c>
      <c r="C42" t="s">
        <v>119</v>
      </c>
      <c r="D42">
        <v>2</v>
      </c>
    </row>
    <row r="43" spans="1:4">
      <c r="A43" s="21" t="s">
        <v>53</v>
      </c>
      <c r="B43" s="21" t="s">
        <v>248</v>
      </c>
      <c r="C43" t="s">
        <v>120</v>
      </c>
      <c r="D43">
        <v>1</v>
      </c>
    </row>
    <row r="44" spans="1:4">
      <c r="A44" s="21" t="s">
        <v>10</v>
      </c>
      <c r="B44" s="21">
        <v>2020</v>
      </c>
      <c r="C44" t="s">
        <v>120</v>
      </c>
      <c r="D44">
        <v>1</v>
      </c>
    </row>
    <row r="45" spans="1:4">
      <c r="A45" s="21" t="s">
        <v>10</v>
      </c>
      <c r="B45" s="21">
        <v>2020</v>
      </c>
      <c r="C45" t="s">
        <v>119</v>
      </c>
      <c r="D45">
        <v>2</v>
      </c>
    </row>
    <row r="46" spans="1:4">
      <c r="A46" s="21" t="s">
        <v>10</v>
      </c>
      <c r="B46" s="21">
        <v>2021</v>
      </c>
      <c r="C46" t="s">
        <v>120</v>
      </c>
      <c r="D46">
        <v>2</v>
      </c>
    </row>
    <row r="47" spans="1:4">
      <c r="A47" s="21" t="s">
        <v>10</v>
      </c>
      <c r="B47" s="21">
        <v>2022</v>
      </c>
      <c r="C47" t="s">
        <v>120</v>
      </c>
      <c r="D47">
        <v>4</v>
      </c>
    </row>
    <row r="48" spans="1:4">
      <c r="A48" s="21" t="s">
        <v>10</v>
      </c>
      <c r="B48" s="21">
        <v>2022</v>
      </c>
      <c r="C48" t="s">
        <v>119</v>
      </c>
      <c r="D48">
        <v>6</v>
      </c>
    </row>
    <row r="49" spans="1:4">
      <c r="A49" s="21" t="s">
        <v>10</v>
      </c>
      <c r="B49" s="21">
        <v>2023</v>
      </c>
      <c r="C49" t="s">
        <v>120</v>
      </c>
      <c r="D49">
        <v>2</v>
      </c>
    </row>
    <row r="50" spans="1:4">
      <c r="A50" s="21" t="s">
        <v>10</v>
      </c>
      <c r="B50" s="21">
        <v>2023</v>
      </c>
      <c r="C50" t="s">
        <v>119</v>
      </c>
      <c r="D50">
        <v>7</v>
      </c>
    </row>
    <row r="51" spans="1:4">
      <c r="A51" s="21" t="s">
        <v>10</v>
      </c>
      <c r="B51" s="21" t="s">
        <v>243</v>
      </c>
      <c r="C51" t="s">
        <v>120</v>
      </c>
      <c r="D51">
        <v>2</v>
      </c>
    </row>
    <row r="52" spans="1:4">
      <c r="A52" s="21" t="s">
        <v>10</v>
      </c>
      <c r="B52" s="21" t="s">
        <v>248</v>
      </c>
      <c r="C52" t="s">
        <v>119</v>
      </c>
      <c r="D52">
        <v>2</v>
      </c>
    </row>
    <row r="53" spans="1:4">
      <c r="A53" s="21" t="s">
        <v>101</v>
      </c>
      <c r="B53" s="21">
        <v>2023</v>
      </c>
      <c r="C53" t="s">
        <v>120</v>
      </c>
      <c r="D53">
        <v>3</v>
      </c>
    </row>
    <row r="54" spans="1:4">
      <c r="A54" s="21" t="s">
        <v>101</v>
      </c>
      <c r="B54" s="21">
        <v>2023</v>
      </c>
      <c r="C54" t="s">
        <v>119</v>
      </c>
      <c r="D54">
        <v>2</v>
      </c>
    </row>
    <row r="55" spans="1:4">
      <c r="A55" s="21" t="s">
        <v>101</v>
      </c>
      <c r="B55" s="21" t="s">
        <v>243</v>
      </c>
      <c r="C55" t="s">
        <v>120</v>
      </c>
      <c r="D55">
        <v>2</v>
      </c>
    </row>
    <row r="56" spans="1:4">
      <c r="A56" s="21" t="s">
        <v>101</v>
      </c>
      <c r="B56" s="21" t="s">
        <v>243</v>
      </c>
      <c r="C56" t="s">
        <v>119</v>
      </c>
      <c r="D56">
        <v>2</v>
      </c>
    </row>
    <row r="57" spans="1:4">
      <c r="A57" s="21" t="s">
        <v>90</v>
      </c>
      <c r="B57" s="21">
        <v>2022</v>
      </c>
      <c r="C57" t="s">
        <v>120</v>
      </c>
      <c r="D57">
        <v>1</v>
      </c>
    </row>
    <row r="58" spans="1:4">
      <c r="A58" s="21" t="s">
        <v>90</v>
      </c>
      <c r="B58" s="21">
        <v>2022</v>
      </c>
      <c r="C58" t="s">
        <v>119</v>
      </c>
      <c r="D58">
        <v>1</v>
      </c>
    </row>
    <row r="59" spans="1:4">
      <c r="A59" s="21" t="s">
        <v>90</v>
      </c>
      <c r="B59" s="21">
        <v>2023</v>
      </c>
      <c r="C59" t="s">
        <v>119</v>
      </c>
      <c r="D59">
        <v>1</v>
      </c>
    </row>
    <row r="60" spans="1:4">
      <c r="A60" s="21" t="s">
        <v>90</v>
      </c>
      <c r="B60" s="21" t="s">
        <v>248</v>
      </c>
      <c r="C60" t="s">
        <v>119</v>
      </c>
      <c r="D60">
        <v>1</v>
      </c>
    </row>
    <row r="61" spans="1:4">
      <c r="A61" s="21" t="s">
        <v>3</v>
      </c>
      <c r="B61" s="21">
        <v>2020</v>
      </c>
      <c r="C61" t="s">
        <v>120</v>
      </c>
      <c r="D61">
        <v>2</v>
      </c>
    </row>
    <row r="62" spans="1:4">
      <c r="A62" s="21" t="s">
        <v>3</v>
      </c>
      <c r="B62" s="21">
        <v>2020</v>
      </c>
      <c r="C62" t="s">
        <v>119</v>
      </c>
      <c r="D62">
        <v>4</v>
      </c>
    </row>
    <row r="63" spans="1:4">
      <c r="A63" s="21" t="s">
        <v>3</v>
      </c>
      <c r="B63" s="21">
        <v>2021</v>
      </c>
      <c r="C63" t="s">
        <v>120</v>
      </c>
      <c r="D63">
        <v>1</v>
      </c>
    </row>
    <row r="64" spans="1:4">
      <c r="A64" s="21" t="s">
        <v>3</v>
      </c>
      <c r="B64" s="21">
        <v>2022</v>
      </c>
      <c r="C64" t="s">
        <v>119</v>
      </c>
      <c r="D64">
        <v>3</v>
      </c>
    </row>
    <row r="65" spans="1:4">
      <c r="A65" s="21" t="s">
        <v>3</v>
      </c>
      <c r="B65" s="21">
        <v>2023</v>
      </c>
      <c r="C65" t="s">
        <v>120</v>
      </c>
      <c r="D65">
        <v>1</v>
      </c>
    </row>
    <row r="66" spans="1:4">
      <c r="A66" s="21" t="s">
        <v>3</v>
      </c>
      <c r="B66" s="21">
        <v>2023</v>
      </c>
      <c r="C66" t="s">
        <v>119</v>
      </c>
      <c r="D66">
        <v>5</v>
      </c>
    </row>
    <row r="67" spans="1:4">
      <c r="A67" s="21" t="s">
        <v>3</v>
      </c>
      <c r="B67" s="21" t="s">
        <v>243</v>
      </c>
      <c r="C67" t="s">
        <v>120</v>
      </c>
      <c r="D67">
        <v>3</v>
      </c>
    </row>
    <row r="68" spans="1:4">
      <c r="A68" s="21" t="s">
        <v>3</v>
      </c>
      <c r="B68" s="21" t="s">
        <v>243</v>
      </c>
      <c r="C68" t="s">
        <v>119</v>
      </c>
      <c r="D68">
        <v>4</v>
      </c>
    </row>
    <row r="69" spans="1:4">
      <c r="A69" s="21" t="s">
        <v>3</v>
      </c>
      <c r="B69" s="21" t="s">
        <v>248</v>
      </c>
      <c r="C69" t="s">
        <v>120</v>
      </c>
      <c r="D69">
        <v>1</v>
      </c>
    </row>
    <row r="70" spans="1:4">
      <c r="A70" s="21" t="s">
        <v>21</v>
      </c>
      <c r="B70" s="21">
        <v>2020</v>
      </c>
      <c r="C70" t="s">
        <v>120</v>
      </c>
      <c r="D70">
        <v>4</v>
      </c>
    </row>
    <row r="71" spans="1:4">
      <c r="A71" s="21" t="s">
        <v>21</v>
      </c>
      <c r="B71" s="21">
        <v>2020</v>
      </c>
      <c r="C71" t="s">
        <v>119</v>
      </c>
      <c r="D71">
        <v>2</v>
      </c>
    </row>
    <row r="72" spans="1:4">
      <c r="A72" s="21" t="s">
        <v>21</v>
      </c>
      <c r="B72" s="21">
        <v>2022</v>
      </c>
      <c r="C72" t="s">
        <v>119</v>
      </c>
      <c r="D72">
        <v>1</v>
      </c>
    </row>
    <row r="73" spans="1:4">
      <c r="A73" s="21" t="s">
        <v>21</v>
      </c>
      <c r="B73" s="21">
        <v>2023</v>
      </c>
      <c r="C73" t="s">
        <v>120</v>
      </c>
      <c r="D73">
        <v>1</v>
      </c>
    </row>
    <row r="74" spans="1:4">
      <c r="A74" s="21" t="s">
        <v>21</v>
      </c>
      <c r="B74" s="21">
        <v>2023</v>
      </c>
      <c r="C74" t="s">
        <v>119</v>
      </c>
      <c r="D74">
        <v>2</v>
      </c>
    </row>
    <row r="75" spans="1:4">
      <c r="A75" s="21" t="s">
        <v>21</v>
      </c>
      <c r="B75" s="21" t="s">
        <v>248</v>
      </c>
      <c r="C75" t="s">
        <v>120</v>
      </c>
      <c r="D75">
        <v>2</v>
      </c>
    </row>
    <row r="76" spans="1:4">
      <c r="A76" s="21" t="s">
        <v>43</v>
      </c>
      <c r="B76" s="21">
        <v>2020</v>
      </c>
      <c r="C76" t="s">
        <v>120</v>
      </c>
      <c r="D76">
        <v>1</v>
      </c>
    </row>
    <row r="77" spans="1:4">
      <c r="A77" s="21" t="s">
        <v>43</v>
      </c>
      <c r="B77" s="21">
        <v>2021</v>
      </c>
      <c r="C77" t="s">
        <v>120</v>
      </c>
      <c r="D77">
        <v>1</v>
      </c>
    </row>
    <row r="78" spans="1:4">
      <c r="A78" s="21" t="s">
        <v>43</v>
      </c>
      <c r="B78" s="21">
        <v>2022</v>
      </c>
      <c r="C78" t="s">
        <v>120</v>
      </c>
      <c r="D78">
        <v>5</v>
      </c>
    </row>
    <row r="79" spans="1:4">
      <c r="A79" s="21" t="s">
        <v>43</v>
      </c>
      <c r="B79" s="21">
        <v>2022</v>
      </c>
      <c r="C79" t="s">
        <v>119</v>
      </c>
      <c r="D79">
        <v>5</v>
      </c>
    </row>
    <row r="80" spans="1:4">
      <c r="A80" s="21" t="s">
        <v>43</v>
      </c>
      <c r="B80" s="21">
        <v>2023</v>
      </c>
      <c r="C80" t="s">
        <v>120</v>
      </c>
      <c r="D80">
        <v>3</v>
      </c>
    </row>
    <row r="81" spans="1:4">
      <c r="A81" s="21" t="s">
        <v>43</v>
      </c>
      <c r="B81" s="21">
        <v>2023</v>
      </c>
      <c r="C81" t="s">
        <v>119</v>
      </c>
      <c r="D81">
        <v>1</v>
      </c>
    </row>
    <row r="82" spans="1:4">
      <c r="A82" s="21" t="s">
        <v>43</v>
      </c>
      <c r="B82" s="21" t="s">
        <v>243</v>
      </c>
      <c r="C82" t="s">
        <v>120</v>
      </c>
      <c r="D82">
        <v>1</v>
      </c>
    </row>
    <row r="83" spans="1:4">
      <c r="A83" s="21" t="s">
        <v>138</v>
      </c>
      <c r="B83" s="21">
        <v>2023</v>
      </c>
      <c r="C83" t="s">
        <v>120</v>
      </c>
      <c r="D83">
        <v>1</v>
      </c>
    </row>
    <row r="84" spans="1:4">
      <c r="A84" s="21" t="s">
        <v>138</v>
      </c>
      <c r="B84" s="21" t="s">
        <v>243</v>
      </c>
      <c r="C84" t="s">
        <v>120</v>
      </c>
      <c r="D84">
        <v>1</v>
      </c>
    </row>
    <row r="85" spans="1:4">
      <c r="A85" s="21" t="s">
        <v>55</v>
      </c>
      <c r="B85" s="21">
        <v>2020</v>
      </c>
      <c r="C85" t="s">
        <v>120</v>
      </c>
      <c r="D85">
        <v>1</v>
      </c>
    </row>
    <row r="86" spans="1:4">
      <c r="A86" s="21" t="s">
        <v>55</v>
      </c>
      <c r="B86" s="21">
        <v>2023</v>
      </c>
      <c r="C86" t="s">
        <v>119</v>
      </c>
      <c r="D86">
        <v>1</v>
      </c>
    </row>
    <row r="87" spans="1:4">
      <c r="A87" s="21" t="s">
        <v>55</v>
      </c>
      <c r="B87" s="21" t="s">
        <v>243</v>
      </c>
      <c r="C87" t="s">
        <v>120</v>
      </c>
      <c r="D87">
        <v>1</v>
      </c>
    </row>
    <row r="88" spans="1:4">
      <c r="A88" s="21" t="s">
        <v>98</v>
      </c>
      <c r="B88" s="21">
        <v>2022</v>
      </c>
      <c r="C88" t="s">
        <v>119</v>
      </c>
      <c r="D88">
        <v>1</v>
      </c>
    </row>
    <row r="89" spans="1:4">
      <c r="A89" s="21" t="s">
        <v>97</v>
      </c>
      <c r="B89" s="21">
        <v>2022</v>
      </c>
      <c r="C89" t="s">
        <v>119</v>
      </c>
      <c r="D89">
        <v>2</v>
      </c>
    </row>
    <row r="90" spans="1:4">
      <c r="A90" s="21" t="s">
        <v>33</v>
      </c>
      <c r="B90" s="21">
        <v>2020</v>
      </c>
      <c r="C90" t="s">
        <v>120</v>
      </c>
      <c r="D90">
        <v>32</v>
      </c>
    </row>
    <row r="91" spans="1:4">
      <c r="A91" s="21" t="s">
        <v>33</v>
      </c>
      <c r="B91" s="21">
        <v>2020</v>
      </c>
      <c r="C91" t="s">
        <v>119</v>
      </c>
      <c r="D91">
        <v>5</v>
      </c>
    </row>
    <row r="92" spans="1:4">
      <c r="A92" s="21" t="s">
        <v>33</v>
      </c>
      <c r="B92" s="21">
        <v>2021</v>
      </c>
      <c r="C92" t="s">
        <v>120</v>
      </c>
      <c r="D92">
        <v>1</v>
      </c>
    </row>
    <row r="93" spans="1:4">
      <c r="A93" s="21" t="s">
        <v>33</v>
      </c>
      <c r="B93" s="21">
        <v>2021</v>
      </c>
      <c r="C93" t="s">
        <v>119</v>
      </c>
      <c r="D93">
        <v>5</v>
      </c>
    </row>
    <row r="94" spans="1:4">
      <c r="A94" s="21" t="s">
        <v>33</v>
      </c>
      <c r="B94" s="21">
        <v>2022</v>
      </c>
      <c r="C94" t="s">
        <v>120</v>
      </c>
      <c r="D94">
        <v>9</v>
      </c>
    </row>
    <row r="95" spans="1:4">
      <c r="A95" s="21" t="s">
        <v>33</v>
      </c>
      <c r="B95" s="21">
        <v>2022</v>
      </c>
      <c r="C95" t="s">
        <v>119</v>
      </c>
      <c r="D95">
        <v>20</v>
      </c>
    </row>
    <row r="96" spans="1:4">
      <c r="A96" s="21" t="s">
        <v>33</v>
      </c>
      <c r="B96" s="21">
        <v>2023</v>
      </c>
      <c r="C96" t="s">
        <v>120</v>
      </c>
      <c r="D96">
        <v>14</v>
      </c>
    </row>
    <row r="97" spans="1:4">
      <c r="A97" s="21" t="s">
        <v>33</v>
      </c>
      <c r="B97" s="21">
        <v>2023</v>
      </c>
      <c r="C97" t="s">
        <v>119</v>
      </c>
      <c r="D97">
        <v>11</v>
      </c>
    </row>
    <row r="98" spans="1:4">
      <c r="A98" s="21" t="s">
        <v>33</v>
      </c>
      <c r="B98" s="21" t="s">
        <v>243</v>
      </c>
      <c r="C98" t="s">
        <v>120</v>
      </c>
      <c r="D98">
        <v>12</v>
      </c>
    </row>
    <row r="99" spans="1:4">
      <c r="A99" s="21" t="s">
        <v>33</v>
      </c>
      <c r="B99" s="21" t="s">
        <v>243</v>
      </c>
      <c r="C99" t="s">
        <v>119</v>
      </c>
      <c r="D99">
        <v>13</v>
      </c>
    </row>
    <row r="100" spans="1:4">
      <c r="A100" s="21" t="s">
        <v>33</v>
      </c>
      <c r="B100" s="21" t="s">
        <v>248</v>
      </c>
      <c r="C100" t="s">
        <v>120</v>
      </c>
      <c r="D100">
        <v>25</v>
      </c>
    </row>
    <row r="101" spans="1:4">
      <c r="A101" s="21" t="s">
        <v>33</v>
      </c>
      <c r="B101" s="21" t="s">
        <v>248</v>
      </c>
      <c r="C101" t="s">
        <v>119</v>
      </c>
      <c r="D101">
        <v>17</v>
      </c>
    </row>
    <row r="102" spans="1:4">
      <c r="A102" s="21" t="s">
        <v>95</v>
      </c>
      <c r="B102" s="21">
        <v>2022</v>
      </c>
      <c r="C102" t="s">
        <v>120</v>
      </c>
      <c r="D102">
        <v>2</v>
      </c>
    </row>
    <row r="103" spans="1:4">
      <c r="A103" s="21" t="s">
        <v>95</v>
      </c>
      <c r="B103" s="21" t="s">
        <v>243</v>
      </c>
      <c r="C103" t="s">
        <v>120</v>
      </c>
      <c r="D103">
        <v>1</v>
      </c>
    </row>
    <row r="104" spans="1:4">
      <c r="A104" s="21" t="s">
        <v>29</v>
      </c>
      <c r="B104" s="21">
        <v>2020</v>
      </c>
      <c r="C104" t="s">
        <v>120</v>
      </c>
      <c r="D104">
        <v>1</v>
      </c>
    </row>
    <row r="105" spans="1:4">
      <c r="A105" s="21" t="s">
        <v>29</v>
      </c>
      <c r="B105" s="21">
        <v>2021</v>
      </c>
      <c r="C105" t="s">
        <v>119</v>
      </c>
      <c r="D105">
        <v>1</v>
      </c>
    </row>
    <row r="106" spans="1:4">
      <c r="A106" s="21" t="s">
        <v>29</v>
      </c>
      <c r="B106" s="21">
        <v>2022</v>
      </c>
      <c r="C106" t="s">
        <v>119</v>
      </c>
      <c r="D106">
        <v>1</v>
      </c>
    </row>
    <row r="107" spans="1:4">
      <c r="A107" s="21" t="s">
        <v>29</v>
      </c>
      <c r="B107" s="21">
        <v>2023</v>
      </c>
      <c r="C107" t="s">
        <v>119</v>
      </c>
      <c r="D107">
        <v>3</v>
      </c>
    </row>
    <row r="108" spans="1:4">
      <c r="A108" s="21" t="s">
        <v>29</v>
      </c>
      <c r="B108" s="21" t="s">
        <v>243</v>
      </c>
      <c r="C108" t="s">
        <v>120</v>
      </c>
      <c r="D108">
        <v>1</v>
      </c>
    </row>
    <row r="109" spans="1:4">
      <c r="A109" s="21" t="s">
        <v>29</v>
      </c>
      <c r="B109" s="21" t="s">
        <v>243</v>
      </c>
      <c r="C109" t="s">
        <v>119</v>
      </c>
      <c r="D109">
        <v>1</v>
      </c>
    </row>
    <row r="110" spans="1:4">
      <c r="A110" s="21" t="s">
        <v>29</v>
      </c>
      <c r="B110" s="21" t="s">
        <v>248</v>
      </c>
      <c r="C110" t="s">
        <v>120</v>
      </c>
      <c r="D110">
        <v>1</v>
      </c>
    </row>
    <row r="111" spans="1:4">
      <c r="A111" s="21" t="s">
        <v>60</v>
      </c>
      <c r="B111" s="21">
        <v>2020</v>
      </c>
      <c r="C111" t="s">
        <v>119</v>
      </c>
      <c r="D111">
        <v>1</v>
      </c>
    </row>
    <row r="112" spans="1:4">
      <c r="A112" s="21" t="s">
        <v>60</v>
      </c>
      <c r="B112" s="21">
        <v>2021</v>
      </c>
      <c r="C112" t="s">
        <v>120</v>
      </c>
      <c r="D112">
        <v>1</v>
      </c>
    </row>
    <row r="113" spans="1:4">
      <c r="A113" s="21" t="s">
        <v>60</v>
      </c>
      <c r="B113" s="21">
        <v>2022</v>
      </c>
      <c r="C113" t="s">
        <v>120</v>
      </c>
      <c r="D113">
        <v>4</v>
      </c>
    </row>
    <row r="114" spans="1:4">
      <c r="A114" s="21" t="s">
        <v>60</v>
      </c>
      <c r="B114" s="21">
        <v>2022</v>
      </c>
      <c r="C114" t="s">
        <v>119</v>
      </c>
      <c r="D114">
        <v>3</v>
      </c>
    </row>
    <row r="115" spans="1:4">
      <c r="A115" s="21" t="s">
        <v>60</v>
      </c>
      <c r="B115" s="21">
        <v>2023</v>
      </c>
      <c r="C115" t="s">
        <v>120</v>
      </c>
      <c r="D115">
        <v>11</v>
      </c>
    </row>
    <row r="116" spans="1:4">
      <c r="A116" s="21" t="s">
        <v>60</v>
      </c>
      <c r="B116" s="21">
        <v>2023</v>
      </c>
      <c r="C116" t="s">
        <v>119</v>
      </c>
      <c r="D116">
        <v>8</v>
      </c>
    </row>
    <row r="117" spans="1:4">
      <c r="A117" s="21" t="s">
        <v>60</v>
      </c>
      <c r="B117" s="21" t="s">
        <v>243</v>
      </c>
      <c r="C117" t="s">
        <v>120</v>
      </c>
      <c r="D117">
        <v>5</v>
      </c>
    </row>
    <row r="118" spans="1:4">
      <c r="A118" s="21" t="s">
        <v>60</v>
      </c>
      <c r="B118" s="21" t="s">
        <v>243</v>
      </c>
      <c r="C118" t="s">
        <v>119</v>
      </c>
      <c r="D118">
        <v>1</v>
      </c>
    </row>
    <row r="119" spans="1:4">
      <c r="A119" s="21" t="s">
        <v>60</v>
      </c>
      <c r="B119" s="21" t="s">
        <v>248</v>
      </c>
      <c r="C119" t="s">
        <v>120</v>
      </c>
      <c r="D119">
        <v>3</v>
      </c>
    </row>
    <row r="120" spans="1:4">
      <c r="A120" s="21" t="s">
        <v>60</v>
      </c>
      <c r="B120" s="21" t="s">
        <v>248</v>
      </c>
      <c r="C120" t="s">
        <v>119</v>
      </c>
      <c r="D120">
        <v>2</v>
      </c>
    </row>
    <row r="121" spans="1:4">
      <c r="A121" s="21" t="s">
        <v>80</v>
      </c>
      <c r="B121" s="21">
        <v>2021</v>
      </c>
      <c r="C121" t="s">
        <v>120</v>
      </c>
      <c r="D121">
        <v>1</v>
      </c>
    </row>
    <row r="122" spans="1:4">
      <c r="A122" s="21" t="s">
        <v>80</v>
      </c>
      <c r="B122" s="21">
        <v>2023</v>
      </c>
      <c r="C122" t="s">
        <v>120</v>
      </c>
      <c r="D122">
        <v>1</v>
      </c>
    </row>
    <row r="123" spans="1:4">
      <c r="A123" s="21" t="s">
        <v>80</v>
      </c>
      <c r="B123" s="21" t="s">
        <v>248</v>
      </c>
      <c r="C123" t="s">
        <v>119</v>
      </c>
      <c r="D123">
        <v>1</v>
      </c>
    </row>
    <row r="124" spans="1:4">
      <c r="A124" s="21" t="s">
        <v>91</v>
      </c>
      <c r="B124" s="21">
        <v>2022</v>
      </c>
      <c r="C124" t="s">
        <v>120</v>
      </c>
      <c r="D124">
        <v>1</v>
      </c>
    </row>
    <row r="125" spans="1:4">
      <c r="A125" s="21" t="s">
        <v>91</v>
      </c>
      <c r="B125" s="21" t="s">
        <v>243</v>
      </c>
      <c r="C125" t="s">
        <v>119</v>
      </c>
      <c r="D125">
        <v>1</v>
      </c>
    </row>
    <row r="126" spans="1:4">
      <c r="A126" s="21" t="s">
        <v>91</v>
      </c>
      <c r="B126" s="21" t="s">
        <v>248</v>
      </c>
      <c r="C126" t="s">
        <v>120</v>
      </c>
      <c r="D126">
        <v>3</v>
      </c>
    </row>
    <row r="127" spans="1:4">
      <c r="A127" s="21" t="s">
        <v>91</v>
      </c>
      <c r="B127" s="21" t="s">
        <v>248</v>
      </c>
      <c r="C127" t="s">
        <v>119</v>
      </c>
      <c r="D127">
        <v>4</v>
      </c>
    </row>
    <row r="128" spans="1:4">
      <c r="A128" s="21" t="s">
        <v>19</v>
      </c>
      <c r="B128" s="21">
        <v>2020</v>
      </c>
      <c r="C128" t="s">
        <v>120</v>
      </c>
      <c r="D128">
        <v>6</v>
      </c>
    </row>
    <row r="129" spans="1:4">
      <c r="A129" s="21" t="s">
        <v>19</v>
      </c>
      <c r="B129" s="21">
        <v>2020</v>
      </c>
      <c r="C129" t="s">
        <v>119</v>
      </c>
      <c r="D129">
        <v>4</v>
      </c>
    </row>
    <row r="130" spans="1:4">
      <c r="A130" s="21" t="s">
        <v>19</v>
      </c>
      <c r="B130" s="21">
        <v>2021</v>
      </c>
      <c r="C130" t="s">
        <v>120</v>
      </c>
      <c r="D130">
        <v>4</v>
      </c>
    </row>
    <row r="131" spans="1:4">
      <c r="A131" s="21" t="s">
        <v>19</v>
      </c>
      <c r="B131" s="21">
        <v>2022</v>
      </c>
      <c r="C131" t="s">
        <v>120</v>
      </c>
      <c r="D131">
        <v>5</v>
      </c>
    </row>
    <row r="132" spans="1:4">
      <c r="A132" s="21" t="s">
        <v>19</v>
      </c>
      <c r="B132" s="21">
        <v>2022</v>
      </c>
      <c r="C132" t="s">
        <v>119</v>
      </c>
      <c r="D132">
        <v>3</v>
      </c>
    </row>
    <row r="133" spans="1:4">
      <c r="A133" s="21" t="s">
        <v>19</v>
      </c>
      <c r="B133" s="21">
        <v>2023</v>
      </c>
      <c r="C133" t="s">
        <v>120</v>
      </c>
      <c r="D133">
        <v>1</v>
      </c>
    </row>
    <row r="134" spans="1:4">
      <c r="A134" s="21" t="s">
        <v>19</v>
      </c>
      <c r="B134" s="21">
        <v>2023</v>
      </c>
      <c r="C134" t="s">
        <v>119</v>
      </c>
      <c r="D134">
        <v>3</v>
      </c>
    </row>
    <row r="135" spans="1:4">
      <c r="A135" s="21" t="s">
        <v>19</v>
      </c>
      <c r="B135" s="21" t="s">
        <v>243</v>
      </c>
      <c r="C135" t="s">
        <v>120</v>
      </c>
      <c r="D135">
        <v>8</v>
      </c>
    </row>
    <row r="136" spans="1:4">
      <c r="A136" s="21" t="s">
        <v>19</v>
      </c>
      <c r="B136" s="21" t="s">
        <v>243</v>
      </c>
      <c r="C136" t="s">
        <v>119</v>
      </c>
      <c r="D136">
        <v>3</v>
      </c>
    </row>
    <row r="137" spans="1:4">
      <c r="A137" s="21" t="s">
        <v>19</v>
      </c>
      <c r="B137" s="21" t="s">
        <v>248</v>
      </c>
      <c r="C137" t="s">
        <v>120</v>
      </c>
      <c r="D137">
        <v>1</v>
      </c>
    </row>
    <row r="138" spans="1:4">
      <c r="A138" s="21" t="s">
        <v>19</v>
      </c>
      <c r="B138" s="21" t="s">
        <v>248</v>
      </c>
      <c r="C138" t="s">
        <v>119</v>
      </c>
      <c r="D138">
        <v>1</v>
      </c>
    </row>
    <row r="139" spans="1:4">
      <c r="A139" s="21" t="s">
        <v>96</v>
      </c>
      <c r="B139" s="21">
        <v>2022</v>
      </c>
      <c r="C139" t="s">
        <v>119</v>
      </c>
      <c r="D139">
        <v>1</v>
      </c>
    </row>
    <row r="140" spans="1:4">
      <c r="A140" s="21" t="s">
        <v>96</v>
      </c>
      <c r="B140" s="21" t="s">
        <v>243</v>
      </c>
      <c r="C140" t="s">
        <v>120</v>
      </c>
      <c r="D140">
        <v>2</v>
      </c>
    </row>
    <row r="141" spans="1:4">
      <c r="A141" s="21" t="s">
        <v>96</v>
      </c>
      <c r="B141" s="21" t="s">
        <v>243</v>
      </c>
      <c r="C141" t="s">
        <v>119</v>
      </c>
      <c r="D141">
        <v>1</v>
      </c>
    </row>
    <row r="142" spans="1:4">
      <c r="A142" s="21" t="s">
        <v>108</v>
      </c>
      <c r="B142" s="21">
        <v>2020</v>
      </c>
      <c r="C142" t="s">
        <v>120</v>
      </c>
      <c r="D142">
        <v>1</v>
      </c>
    </row>
    <row r="143" spans="1:4">
      <c r="A143" s="21" t="s">
        <v>108</v>
      </c>
      <c r="B143" s="21">
        <v>2021</v>
      </c>
      <c r="C143" t="s">
        <v>119</v>
      </c>
      <c r="D143">
        <v>1</v>
      </c>
    </row>
    <row r="144" spans="1:4">
      <c r="A144" s="21" t="s">
        <v>108</v>
      </c>
      <c r="B144" s="21">
        <v>2023</v>
      </c>
      <c r="C144" t="s">
        <v>120</v>
      </c>
      <c r="D144">
        <v>1</v>
      </c>
    </row>
    <row r="145" spans="1:4">
      <c r="A145" s="21" t="s">
        <v>108</v>
      </c>
      <c r="B145" s="21">
        <v>2023</v>
      </c>
      <c r="C145" t="s">
        <v>119</v>
      </c>
      <c r="D145">
        <v>1</v>
      </c>
    </row>
    <row r="146" spans="1:4">
      <c r="A146" s="21" t="s">
        <v>108</v>
      </c>
      <c r="B146" s="21" t="s">
        <v>243</v>
      </c>
      <c r="C146" t="s">
        <v>120</v>
      </c>
      <c r="D146">
        <v>4</v>
      </c>
    </row>
    <row r="147" spans="1:4">
      <c r="A147" s="21" t="s">
        <v>77</v>
      </c>
      <c r="B147" s="21">
        <v>2021</v>
      </c>
      <c r="C147" t="s">
        <v>119</v>
      </c>
      <c r="D147">
        <v>2</v>
      </c>
    </row>
    <row r="148" spans="1:4">
      <c r="A148" s="21" t="s">
        <v>77</v>
      </c>
      <c r="B148" s="21">
        <v>2023</v>
      </c>
      <c r="C148" t="s">
        <v>120</v>
      </c>
      <c r="D148">
        <v>1</v>
      </c>
    </row>
    <row r="149" spans="1:4">
      <c r="A149" s="21" t="s">
        <v>77</v>
      </c>
      <c r="B149" s="21">
        <v>2023</v>
      </c>
      <c r="C149" t="s">
        <v>119</v>
      </c>
      <c r="D149">
        <v>1</v>
      </c>
    </row>
    <row r="150" spans="1:4">
      <c r="A150" s="21" t="s">
        <v>68</v>
      </c>
      <c r="B150" s="21">
        <v>2020</v>
      </c>
      <c r="C150" t="s">
        <v>119</v>
      </c>
      <c r="D150">
        <v>1</v>
      </c>
    </row>
    <row r="151" spans="1:4">
      <c r="A151" s="21" t="s">
        <v>68</v>
      </c>
      <c r="B151" s="21">
        <v>2021</v>
      </c>
      <c r="C151" t="s">
        <v>120</v>
      </c>
      <c r="D151">
        <v>2</v>
      </c>
    </row>
    <row r="152" spans="1:4">
      <c r="A152" s="21" t="s">
        <v>68</v>
      </c>
      <c r="B152" s="21">
        <v>2021</v>
      </c>
      <c r="C152" t="s">
        <v>119</v>
      </c>
      <c r="D152">
        <v>1</v>
      </c>
    </row>
    <row r="153" spans="1:4">
      <c r="A153" s="21" t="s">
        <v>68</v>
      </c>
      <c r="B153" s="21">
        <v>2022</v>
      </c>
      <c r="C153" t="s">
        <v>120</v>
      </c>
      <c r="D153">
        <v>2</v>
      </c>
    </row>
    <row r="154" spans="1:4">
      <c r="A154" s="21" t="s">
        <v>68</v>
      </c>
      <c r="B154" s="21">
        <v>2022</v>
      </c>
      <c r="C154" t="s">
        <v>119</v>
      </c>
      <c r="D154">
        <v>1</v>
      </c>
    </row>
    <row r="155" spans="1:4">
      <c r="A155" s="21" t="s">
        <v>68</v>
      </c>
      <c r="B155" s="21">
        <v>2023</v>
      </c>
      <c r="C155" t="s">
        <v>120</v>
      </c>
      <c r="D155">
        <v>6</v>
      </c>
    </row>
    <row r="156" spans="1:4">
      <c r="A156" s="21" t="s">
        <v>68</v>
      </c>
      <c r="B156" s="21">
        <v>2023</v>
      </c>
      <c r="C156" t="s">
        <v>119</v>
      </c>
      <c r="D156">
        <v>3</v>
      </c>
    </row>
    <row r="157" spans="1:4">
      <c r="A157" s="21" t="s">
        <v>68</v>
      </c>
      <c r="B157" s="21" t="s">
        <v>243</v>
      </c>
      <c r="C157" t="s">
        <v>120</v>
      </c>
      <c r="D157">
        <v>1</v>
      </c>
    </row>
    <row r="158" spans="1:4">
      <c r="A158" s="21" t="s">
        <v>68</v>
      </c>
      <c r="B158" s="21" t="s">
        <v>243</v>
      </c>
      <c r="C158" t="s">
        <v>119</v>
      </c>
      <c r="D158">
        <v>3</v>
      </c>
    </row>
    <row r="159" spans="1:4">
      <c r="A159" s="21" t="s">
        <v>68</v>
      </c>
      <c r="B159" s="21" t="s">
        <v>248</v>
      </c>
      <c r="C159" t="s">
        <v>120</v>
      </c>
      <c r="D159">
        <v>2</v>
      </c>
    </row>
    <row r="160" spans="1:4">
      <c r="A160" s="21" t="s">
        <v>49</v>
      </c>
      <c r="B160" s="21">
        <v>2020</v>
      </c>
      <c r="C160" t="s">
        <v>120</v>
      </c>
      <c r="D160">
        <v>2</v>
      </c>
    </row>
    <row r="161" spans="1:4">
      <c r="A161" s="21" t="s">
        <v>49</v>
      </c>
      <c r="B161" s="21">
        <v>2020</v>
      </c>
      <c r="C161" t="s">
        <v>119</v>
      </c>
      <c r="D161">
        <v>3</v>
      </c>
    </row>
    <row r="162" spans="1:4">
      <c r="A162" s="21" t="s">
        <v>49</v>
      </c>
      <c r="B162" s="21">
        <v>2021</v>
      </c>
      <c r="C162" t="s">
        <v>119</v>
      </c>
      <c r="D162">
        <v>2</v>
      </c>
    </row>
    <row r="163" spans="1:4">
      <c r="A163" s="21" t="s">
        <v>49</v>
      </c>
      <c r="B163" s="21">
        <v>2022</v>
      </c>
      <c r="C163" t="s">
        <v>119</v>
      </c>
      <c r="D163">
        <v>1</v>
      </c>
    </row>
    <row r="164" spans="1:4">
      <c r="A164" s="21" t="s">
        <v>49</v>
      </c>
      <c r="B164" s="21">
        <v>2023</v>
      </c>
      <c r="C164" t="s">
        <v>120</v>
      </c>
      <c r="D164">
        <v>11</v>
      </c>
    </row>
    <row r="165" spans="1:4">
      <c r="A165" s="21" t="s">
        <v>49</v>
      </c>
      <c r="B165" s="21">
        <v>2023</v>
      </c>
      <c r="C165" t="s">
        <v>119</v>
      </c>
      <c r="D165">
        <v>5</v>
      </c>
    </row>
    <row r="166" spans="1:4">
      <c r="A166" s="21" t="s">
        <v>49</v>
      </c>
      <c r="B166" s="21" t="s">
        <v>243</v>
      </c>
      <c r="C166" t="s">
        <v>119</v>
      </c>
      <c r="D166">
        <v>1</v>
      </c>
    </row>
    <row r="167" spans="1:4">
      <c r="A167" s="21" t="s">
        <v>49</v>
      </c>
      <c r="B167" s="21" t="s">
        <v>248</v>
      </c>
      <c r="C167" t="s">
        <v>120</v>
      </c>
      <c r="D167">
        <v>3</v>
      </c>
    </row>
    <row r="168" spans="1:4">
      <c r="A168" s="21" t="s">
        <v>49</v>
      </c>
      <c r="B168" s="21" t="s">
        <v>248</v>
      </c>
      <c r="C168" t="s">
        <v>119</v>
      </c>
      <c r="D168">
        <v>1</v>
      </c>
    </row>
    <row r="169" spans="1:4">
      <c r="A169" s="21" t="s">
        <v>247</v>
      </c>
      <c r="B169" s="21" t="s">
        <v>243</v>
      </c>
      <c r="C169" t="s">
        <v>119</v>
      </c>
      <c r="D169">
        <v>1</v>
      </c>
    </row>
    <row r="170" spans="1:4">
      <c r="A170" s="21" t="s">
        <v>247</v>
      </c>
      <c r="B170" s="21" t="s">
        <v>248</v>
      </c>
      <c r="C170" t="s">
        <v>120</v>
      </c>
      <c r="D170">
        <v>1</v>
      </c>
    </row>
    <row r="171" spans="1:4">
      <c r="A171" s="21" t="s">
        <v>39</v>
      </c>
      <c r="B171" s="21">
        <v>2020</v>
      </c>
      <c r="C171" t="s">
        <v>120</v>
      </c>
      <c r="D171">
        <v>1</v>
      </c>
    </row>
    <row r="172" spans="1:4">
      <c r="A172" s="21" t="s">
        <v>39</v>
      </c>
      <c r="B172" s="21">
        <v>2021</v>
      </c>
      <c r="C172" t="s">
        <v>120</v>
      </c>
      <c r="D172">
        <v>2</v>
      </c>
    </row>
    <row r="173" spans="1:4">
      <c r="A173" s="21" t="s">
        <v>39</v>
      </c>
      <c r="B173" s="21">
        <v>2021</v>
      </c>
      <c r="C173" t="s">
        <v>119</v>
      </c>
      <c r="D173">
        <v>3</v>
      </c>
    </row>
    <row r="174" spans="1:4">
      <c r="A174" s="21" t="s">
        <v>39</v>
      </c>
      <c r="B174" s="21">
        <v>2022</v>
      </c>
      <c r="C174" t="s">
        <v>119</v>
      </c>
      <c r="D174">
        <v>2</v>
      </c>
    </row>
    <row r="175" spans="1:4">
      <c r="A175" s="21" t="s">
        <v>39</v>
      </c>
      <c r="B175" s="21">
        <v>2023</v>
      </c>
      <c r="C175" t="s">
        <v>120</v>
      </c>
      <c r="D175">
        <v>2</v>
      </c>
    </row>
    <row r="176" spans="1:4">
      <c r="A176" s="21" t="s">
        <v>39</v>
      </c>
      <c r="B176" s="21">
        <v>2023</v>
      </c>
      <c r="C176" t="s">
        <v>119</v>
      </c>
      <c r="D176">
        <v>1</v>
      </c>
    </row>
    <row r="177" spans="1:4">
      <c r="A177" s="21" t="s">
        <v>39</v>
      </c>
      <c r="B177" s="21" t="s">
        <v>243</v>
      </c>
      <c r="C177" t="s">
        <v>120</v>
      </c>
      <c r="D177">
        <v>2</v>
      </c>
    </row>
    <row r="178" spans="1:4">
      <c r="A178" s="21" t="s">
        <v>244</v>
      </c>
      <c r="B178" s="21" t="s">
        <v>243</v>
      </c>
      <c r="C178" t="s">
        <v>120</v>
      </c>
      <c r="D178">
        <v>3</v>
      </c>
    </row>
    <row r="179" spans="1:4">
      <c r="A179" s="21" t="s">
        <v>244</v>
      </c>
      <c r="B179" s="21" t="s">
        <v>243</v>
      </c>
      <c r="C179" t="s">
        <v>119</v>
      </c>
      <c r="D179">
        <v>5</v>
      </c>
    </row>
    <row r="180" spans="1:4">
      <c r="A180" s="21" t="s">
        <v>244</v>
      </c>
      <c r="B180" s="21" t="s">
        <v>248</v>
      </c>
      <c r="C180" t="s">
        <v>120</v>
      </c>
      <c r="D180">
        <v>1</v>
      </c>
    </row>
    <row r="181" spans="1:4">
      <c r="A181" s="21" t="s">
        <v>244</v>
      </c>
      <c r="B181" s="21" t="s">
        <v>248</v>
      </c>
      <c r="C181" t="s">
        <v>119</v>
      </c>
      <c r="D181">
        <v>1</v>
      </c>
    </row>
    <row r="182" spans="1:4">
      <c r="A182" s="21" t="s">
        <v>4</v>
      </c>
      <c r="B182" s="21">
        <v>2020</v>
      </c>
      <c r="C182" t="s">
        <v>120</v>
      </c>
      <c r="D182">
        <v>39</v>
      </c>
    </row>
    <row r="183" spans="1:4">
      <c r="A183" s="21" t="s">
        <v>4</v>
      </c>
      <c r="B183" s="21">
        <v>2020</v>
      </c>
      <c r="C183" t="s">
        <v>119</v>
      </c>
      <c r="D183">
        <v>25</v>
      </c>
    </row>
    <row r="184" spans="1:4">
      <c r="A184" s="21" t="s">
        <v>4</v>
      </c>
      <c r="B184" s="21">
        <v>2021</v>
      </c>
      <c r="C184" t="s">
        <v>120</v>
      </c>
      <c r="D184">
        <v>27</v>
      </c>
    </row>
    <row r="185" spans="1:4">
      <c r="A185" s="21" t="s">
        <v>4</v>
      </c>
      <c r="B185" s="21">
        <v>2021</v>
      </c>
      <c r="C185" t="s">
        <v>119</v>
      </c>
      <c r="D185">
        <v>19</v>
      </c>
    </row>
    <row r="186" spans="1:4">
      <c r="A186" s="21" t="s">
        <v>4</v>
      </c>
      <c r="B186" s="21">
        <v>2022</v>
      </c>
      <c r="C186" t="s">
        <v>120</v>
      </c>
      <c r="D186">
        <v>38</v>
      </c>
    </row>
    <row r="187" spans="1:4">
      <c r="A187" s="21" t="s">
        <v>4</v>
      </c>
      <c r="B187" s="21">
        <v>2022</v>
      </c>
      <c r="C187" t="s">
        <v>119</v>
      </c>
      <c r="D187">
        <v>31</v>
      </c>
    </row>
    <row r="188" spans="1:4">
      <c r="A188" s="21" t="s">
        <v>4</v>
      </c>
      <c r="B188" s="21">
        <v>2023</v>
      </c>
      <c r="C188" t="s">
        <v>120</v>
      </c>
      <c r="D188">
        <v>114</v>
      </c>
    </row>
    <row r="189" spans="1:4">
      <c r="A189" s="21" t="s">
        <v>4</v>
      </c>
      <c r="B189" s="21">
        <v>2023</v>
      </c>
      <c r="C189" t="s">
        <v>119</v>
      </c>
      <c r="D189">
        <v>63</v>
      </c>
    </row>
    <row r="190" spans="1:4">
      <c r="A190" s="21" t="s">
        <v>4</v>
      </c>
      <c r="B190" s="21" t="s">
        <v>243</v>
      </c>
      <c r="C190" t="s">
        <v>120</v>
      </c>
      <c r="D190">
        <v>64</v>
      </c>
    </row>
    <row r="191" spans="1:4">
      <c r="A191" s="21" t="s">
        <v>4</v>
      </c>
      <c r="B191" s="21" t="s">
        <v>243</v>
      </c>
      <c r="C191" t="s">
        <v>119</v>
      </c>
      <c r="D191">
        <v>50</v>
      </c>
    </row>
    <row r="192" spans="1:4">
      <c r="A192" s="21" t="s">
        <v>4</v>
      </c>
      <c r="B192" s="21" t="s">
        <v>248</v>
      </c>
      <c r="C192" t="s">
        <v>120</v>
      </c>
      <c r="D192">
        <v>41</v>
      </c>
    </row>
    <row r="193" spans="1:4">
      <c r="A193" s="21" t="s">
        <v>4</v>
      </c>
      <c r="B193" s="21" t="s">
        <v>248</v>
      </c>
      <c r="C193" t="s">
        <v>119</v>
      </c>
      <c r="D193">
        <v>32</v>
      </c>
    </row>
    <row r="194" spans="1:4">
      <c r="A194" s="21" t="s">
        <v>40</v>
      </c>
      <c r="B194" s="21">
        <v>2020</v>
      </c>
      <c r="C194" t="s">
        <v>119</v>
      </c>
      <c r="D194">
        <v>1</v>
      </c>
    </row>
    <row r="195" spans="1:4">
      <c r="A195" s="21" t="s">
        <v>40</v>
      </c>
      <c r="B195" s="21">
        <v>2021</v>
      </c>
      <c r="C195" t="s">
        <v>119</v>
      </c>
      <c r="D195">
        <v>1</v>
      </c>
    </row>
    <row r="196" spans="1:4">
      <c r="A196" s="21" t="s">
        <v>40</v>
      </c>
      <c r="B196" s="21">
        <v>2022</v>
      </c>
      <c r="C196" t="s">
        <v>119</v>
      </c>
      <c r="D196">
        <v>1</v>
      </c>
    </row>
    <row r="197" spans="1:4">
      <c r="A197" s="21" t="s">
        <v>40</v>
      </c>
      <c r="B197" s="21">
        <v>2023</v>
      </c>
      <c r="C197" t="s">
        <v>120</v>
      </c>
      <c r="D197">
        <v>4</v>
      </c>
    </row>
    <row r="198" spans="1:4">
      <c r="A198" s="21" t="s">
        <v>40</v>
      </c>
      <c r="B198" s="21" t="s">
        <v>243</v>
      </c>
      <c r="C198" t="s">
        <v>119</v>
      </c>
      <c r="D198">
        <v>2</v>
      </c>
    </row>
    <row r="199" spans="1:4">
      <c r="A199" s="21" t="s">
        <v>40</v>
      </c>
      <c r="B199" s="21" t="s">
        <v>248</v>
      </c>
      <c r="C199" t="s">
        <v>120</v>
      </c>
      <c r="D199">
        <v>1</v>
      </c>
    </row>
    <row r="200" spans="1:4">
      <c r="A200" s="21" t="s">
        <v>44</v>
      </c>
      <c r="B200" s="21">
        <v>2020</v>
      </c>
      <c r="C200" t="s">
        <v>120</v>
      </c>
      <c r="D200">
        <v>1</v>
      </c>
    </row>
    <row r="201" spans="1:4">
      <c r="A201" s="21" t="s">
        <v>44</v>
      </c>
      <c r="B201" s="21">
        <v>2020</v>
      </c>
      <c r="C201" t="s">
        <v>119</v>
      </c>
      <c r="D201">
        <v>1</v>
      </c>
    </row>
    <row r="202" spans="1:4">
      <c r="A202" s="21" t="s">
        <v>5</v>
      </c>
      <c r="B202" s="21">
        <v>2020</v>
      </c>
      <c r="C202" t="s">
        <v>119</v>
      </c>
      <c r="D202">
        <v>1</v>
      </c>
    </row>
    <row r="203" spans="1:4">
      <c r="A203" s="21" t="s">
        <v>5</v>
      </c>
      <c r="B203" s="21">
        <v>2021</v>
      </c>
      <c r="C203" t="s">
        <v>119</v>
      </c>
      <c r="D203">
        <v>2</v>
      </c>
    </row>
    <row r="204" spans="1:4">
      <c r="A204" s="21" t="s">
        <v>5</v>
      </c>
      <c r="B204" s="21">
        <v>2022</v>
      </c>
      <c r="C204" t="s">
        <v>120</v>
      </c>
      <c r="D204">
        <v>1</v>
      </c>
    </row>
    <row r="205" spans="1:4">
      <c r="A205" s="21" t="s">
        <v>5</v>
      </c>
      <c r="B205" s="21">
        <v>2022</v>
      </c>
      <c r="C205" t="s">
        <v>119</v>
      </c>
      <c r="D205">
        <v>1</v>
      </c>
    </row>
    <row r="206" spans="1:4">
      <c r="A206" s="21" t="s">
        <v>5</v>
      </c>
      <c r="B206" s="21">
        <v>2023</v>
      </c>
      <c r="C206" t="s">
        <v>120</v>
      </c>
      <c r="D206">
        <v>2</v>
      </c>
    </row>
    <row r="207" spans="1:4">
      <c r="A207" s="21" t="s">
        <v>5</v>
      </c>
      <c r="B207" s="21" t="s">
        <v>243</v>
      </c>
      <c r="C207" t="s">
        <v>119</v>
      </c>
      <c r="D207">
        <v>1</v>
      </c>
    </row>
    <row r="208" spans="1:4">
      <c r="A208" s="21" t="s">
        <v>75</v>
      </c>
      <c r="B208" s="21">
        <v>2021</v>
      </c>
      <c r="C208" t="s">
        <v>120</v>
      </c>
      <c r="D208">
        <v>1</v>
      </c>
    </row>
    <row r="209" spans="1:4">
      <c r="A209" s="21" t="s">
        <v>75</v>
      </c>
      <c r="B209" s="21">
        <v>2021</v>
      </c>
      <c r="C209" t="s">
        <v>119</v>
      </c>
      <c r="D209">
        <v>2</v>
      </c>
    </row>
    <row r="210" spans="1:4">
      <c r="A210" s="21" t="s">
        <v>75</v>
      </c>
      <c r="B210" s="21">
        <v>2022</v>
      </c>
      <c r="C210" t="s">
        <v>120</v>
      </c>
      <c r="D210">
        <v>7</v>
      </c>
    </row>
    <row r="211" spans="1:4">
      <c r="A211" s="21" t="s">
        <v>75</v>
      </c>
      <c r="B211" s="21">
        <v>2022</v>
      </c>
      <c r="C211" t="s">
        <v>119</v>
      </c>
      <c r="D211">
        <v>2</v>
      </c>
    </row>
    <row r="212" spans="1:4">
      <c r="A212" s="21" t="s">
        <v>75</v>
      </c>
      <c r="B212" s="21">
        <v>2023</v>
      </c>
      <c r="C212" t="s">
        <v>120</v>
      </c>
      <c r="D212">
        <v>3</v>
      </c>
    </row>
    <row r="213" spans="1:4">
      <c r="A213" s="21" t="s">
        <v>75</v>
      </c>
      <c r="B213" s="21">
        <v>2023</v>
      </c>
      <c r="C213" t="s">
        <v>119</v>
      </c>
      <c r="D213">
        <v>1</v>
      </c>
    </row>
    <row r="214" spans="1:4">
      <c r="A214" s="21" t="s">
        <v>75</v>
      </c>
      <c r="B214" s="21" t="s">
        <v>243</v>
      </c>
      <c r="C214" t="s">
        <v>119</v>
      </c>
      <c r="D214">
        <v>1</v>
      </c>
    </row>
    <row r="215" spans="1:4">
      <c r="A215" s="21" t="s">
        <v>74</v>
      </c>
      <c r="B215" s="21">
        <v>2021</v>
      </c>
      <c r="C215" t="s">
        <v>119</v>
      </c>
      <c r="D215">
        <v>1</v>
      </c>
    </row>
    <row r="216" spans="1:4">
      <c r="A216" s="21" t="s">
        <v>74</v>
      </c>
      <c r="B216" s="21">
        <v>2023</v>
      </c>
      <c r="C216" t="s">
        <v>120</v>
      </c>
      <c r="D216">
        <v>1</v>
      </c>
    </row>
    <row r="217" spans="1:4">
      <c r="A217" s="21" t="s">
        <v>74</v>
      </c>
      <c r="B217" s="21">
        <v>2023</v>
      </c>
      <c r="C217" t="s">
        <v>119</v>
      </c>
      <c r="D217">
        <v>2</v>
      </c>
    </row>
    <row r="218" spans="1:4">
      <c r="A218" s="21" t="s">
        <v>74</v>
      </c>
      <c r="B218" s="21" t="s">
        <v>243</v>
      </c>
      <c r="C218" t="s">
        <v>119</v>
      </c>
      <c r="D218">
        <v>1</v>
      </c>
    </row>
    <row r="219" spans="1:4">
      <c r="A219" s="21" t="s">
        <v>51</v>
      </c>
      <c r="B219" s="21">
        <v>2020</v>
      </c>
      <c r="C219" t="s">
        <v>119</v>
      </c>
      <c r="D219">
        <v>1</v>
      </c>
    </row>
    <row r="220" spans="1:4">
      <c r="A220" s="21" t="s">
        <v>51</v>
      </c>
      <c r="B220" s="21">
        <v>2021</v>
      </c>
      <c r="C220" t="s">
        <v>120</v>
      </c>
      <c r="D220">
        <v>1</v>
      </c>
    </row>
    <row r="221" spans="1:4">
      <c r="A221" s="21" t="s">
        <v>51</v>
      </c>
      <c r="B221" s="21">
        <v>2021</v>
      </c>
      <c r="C221" t="s">
        <v>119</v>
      </c>
      <c r="D221">
        <v>1</v>
      </c>
    </row>
    <row r="222" spans="1:4">
      <c r="A222" s="21" t="s">
        <v>51</v>
      </c>
      <c r="B222" s="21">
        <v>2022</v>
      </c>
      <c r="C222" t="s">
        <v>119</v>
      </c>
      <c r="D222">
        <v>2</v>
      </c>
    </row>
    <row r="223" spans="1:4">
      <c r="A223" s="21" t="s">
        <v>26</v>
      </c>
      <c r="B223" s="21">
        <v>2020</v>
      </c>
      <c r="C223" t="s">
        <v>120</v>
      </c>
      <c r="D223">
        <v>4</v>
      </c>
    </row>
    <row r="224" spans="1:4">
      <c r="A224" s="21" t="s">
        <v>26</v>
      </c>
      <c r="B224" s="21">
        <v>2020</v>
      </c>
      <c r="C224" t="s">
        <v>119</v>
      </c>
      <c r="D224">
        <v>1</v>
      </c>
    </row>
    <row r="225" spans="1:4">
      <c r="A225" s="21" t="s">
        <v>26</v>
      </c>
      <c r="B225" s="21">
        <v>2022</v>
      </c>
      <c r="C225" t="s">
        <v>120</v>
      </c>
      <c r="D225">
        <v>6</v>
      </c>
    </row>
    <row r="226" spans="1:4">
      <c r="A226" s="21" t="s">
        <v>26</v>
      </c>
      <c r="B226" s="21">
        <v>2022</v>
      </c>
      <c r="C226" t="s">
        <v>119</v>
      </c>
      <c r="D226">
        <v>1</v>
      </c>
    </row>
    <row r="227" spans="1:4">
      <c r="A227" s="21" t="s">
        <v>26</v>
      </c>
      <c r="B227" s="21">
        <v>2023</v>
      </c>
      <c r="C227" t="s">
        <v>120</v>
      </c>
      <c r="D227">
        <v>1</v>
      </c>
    </row>
    <row r="228" spans="1:4">
      <c r="A228" s="21" t="s">
        <v>26</v>
      </c>
      <c r="B228" s="21">
        <v>2023</v>
      </c>
      <c r="C228" t="s">
        <v>119</v>
      </c>
      <c r="D228">
        <v>3</v>
      </c>
    </row>
    <row r="229" spans="1:4">
      <c r="A229" s="21" t="s">
        <v>26</v>
      </c>
      <c r="B229" s="21" t="s">
        <v>243</v>
      </c>
      <c r="C229" t="s">
        <v>119</v>
      </c>
      <c r="D229">
        <v>2</v>
      </c>
    </row>
    <row r="230" spans="1:4">
      <c r="A230" s="21" t="s">
        <v>45</v>
      </c>
      <c r="B230" s="21">
        <v>2020</v>
      </c>
      <c r="C230" t="s">
        <v>119</v>
      </c>
      <c r="D230">
        <v>1</v>
      </c>
    </row>
    <row r="231" spans="1:4">
      <c r="A231" s="21" t="s">
        <v>45</v>
      </c>
      <c r="B231" s="21">
        <v>2021</v>
      </c>
      <c r="C231" t="s">
        <v>120</v>
      </c>
      <c r="D231">
        <v>1</v>
      </c>
    </row>
    <row r="232" spans="1:4">
      <c r="A232" s="21" t="s">
        <v>45</v>
      </c>
      <c r="B232" s="21">
        <v>2022</v>
      </c>
      <c r="C232" t="s">
        <v>120</v>
      </c>
      <c r="D232">
        <v>2</v>
      </c>
    </row>
    <row r="233" spans="1:4">
      <c r="A233" s="21" t="s">
        <v>45</v>
      </c>
      <c r="B233" s="21">
        <v>2022</v>
      </c>
      <c r="C233" t="s">
        <v>119</v>
      </c>
      <c r="D233">
        <v>3</v>
      </c>
    </row>
    <row r="234" spans="1:4">
      <c r="A234" s="21" t="s">
        <v>45</v>
      </c>
      <c r="B234" s="21">
        <v>2023</v>
      </c>
      <c r="C234" t="s">
        <v>119</v>
      </c>
      <c r="D234">
        <v>1</v>
      </c>
    </row>
    <row r="235" spans="1:4">
      <c r="A235" s="21" t="s">
        <v>13</v>
      </c>
      <c r="B235" s="21">
        <v>2020</v>
      </c>
      <c r="C235" t="s">
        <v>120</v>
      </c>
      <c r="D235">
        <v>1</v>
      </c>
    </row>
    <row r="236" spans="1:4">
      <c r="A236" s="21" t="s">
        <v>13</v>
      </c>
      <c r="B236" s="21">
        <v>2020</v>
      </c>
      <c r="C236" t="s">
        <v>119</v>
      </c>
      <c r="D236">
        <v>2</v>
      </c>
    </row>
    <row r="237" spans="1:4">
      <c r="A237" s="21" t="s">
        <v>13</v>
      </c>
      <c r="B237" s="21">
        <v>2021</v>
      </c>
      <c r="C237" t="s">
        <v>120</v>
      </c>
      <c r="D237">
        <v>1</v>
      </c>
    </row>
    <row r="238" spans="1:4">
      <c r="A238" s="21" t="s">
        <v>13</v>
      </c>
      <c r="B238" s="21">
        <v>2021</v>
      </c>
      <c r="C238" t="s">
        <v>119</v>
      </c>
      <c r="D238">
        <v>1</v>
      </c>
    </row>
    <row r="239" spans="1:4">
      <c r="A239" s="21" t="s">
        <v>13</v>
      </c>
      <c r="B239" s="21">
        <v>2022</v>
      </c>
      <c r="C239" t="s">
        <v>120</v>
      </c>
      <c r="D239">
        <v>1</v>
      </c>
    </row>
    <row r="240" spans="1:4">
      <c r="A240" s="21" t="s">
        <v>13</v>
      </c>
      <c r="B240" s="21">
        <v>2022</v>
      </c>
      <c r="C240" t="s">
        <v>119</v>
      </c>
      <c r="D240">
        <v>4</v>
      </c>
    </row>
    <row r="241" spans="1:4">
      <c r="A241" s="21" t="s">
        <v>13</v>
      </c>
      <c r="B241" s="21">
        <v>2023</v>
      </c>
      <c r="C241" t="s">
        <v>120</v>
      </c>
      <c r="D241">
        <v>2</v>
      </c>
    </row>
    <row r="242" spans="1:4">
      <c r="A242" s="21" t="s">
        <v>13</v>
      </c>
      <c r="B242" s="21">
        <v>2023</v>
      </c>
      <c r="C242" t="s">
        <v>119</v>
      </c>
      <c r="D242">
        <v>2</v>
      </c>
    </row>
    <row r="243" spans="1:4">
      <c r="A243" s="21" t="s">
        <v>13</v>
      </c>
      <c r="B243" s="21" t="s">
        <v>248</v>
      </c>
      <c r="C243" t="s">
        <v>119</v>
      </c>
      <c r="D243">
        <v>2</v>
      </c>
    </row>
    <row r="244" spans="1:4">
      <c r="A244" s="21" t="s">
        <v>100</v>
      </c>
      <c r="B244" s="21">
        <v>2023</v>
      </c>
      <c r="C244" t="s">
        <v>120</v>
      </c>
      <c r="D244">
        <v>3</v>
      </c>
    </row>
    <row r="245" spans="1:4">
      <c r="A245" s="21" t="s">
        <v>100</v>
      </c>
      <c r="B245" s="21">
        <v>2023</v>
      </c>
      <c r="C245" t="s">
        <v>119</v>
      </c>
      <c r="D245">
        <v>4</v>
      </c>
    </row>
    <row r="246" spans="1:4">
      <c r="A246" s="21" t="s">
        <v>100</v>
      </c>
      <c r="B246" s="21" t="s">
        <v>243</v>
      </c>
      <c r="C246" t="s">
        <v>120</v>
      </c>
      <c r="D246">
        <v>3</v>
      </c>
    </row>
    <row r="247" spans="1:4">
      <c r="A247" s="21" t="s">
        <v>100</v>
      </c>
      <c r="B247" s="21" t="s">
        <v>243</v>
      </c>
      <c r="C247" t="s">
        <v>119</v>
      </c>
      <c r="D247">
        <v>4</v>
      </c>
    </row>
    <row r="248" spans="1:4">
      <c r="A248" s="21" t="s">
        <v>62</v>
      </c>
      <c r="B248" s="21">
        <v>2020</v>
      </c>
      <c r="C248" t="s">
        <v>120</v>
      </c>
      <c r="D248">
        <v>1</v>
      </c>
    </row>
    <row r="249" spans="1:4">
      <c r="A249" s="21" t="s">
        <v>62</v>
      </c>
      <c r="B249" s="21">
        <v>2020</v>
      </c>
      <c r="C249" t="s">
        <v>119</v>
      </c>
      <c r="D249">
        <v>1</v>
      </c>
    </row>
    <row r="250" spans="1:4">
      <c r="A250" s="21" t="s">
        <v>62</v>
      </c>
      <c r="B250" s="21">
        <v>2021</v>
      </c>
      <c r="C250" t="s">
        <v>120</v>
      </c>
      <c r="D250">
        <v>1</v>
      </c>
    </row>
    <row r="251" spans="1:4">
      <c r="A251" s="21" t="s">
        <v>62</v>
      </c>
      <c r="B251" s="21">
        <v>2022</v>
      </c>
      <c r="C251" t="s">
        <v>119</v>
      </c>
      <c r="D251">
        <v>2</v>
      </c>
    </row>
    <row r="252" spans="1:4">
      <c r="A252" s="21" t="s">
        <v>62</v>
      </c>
      <c r="B252" s="21">
        <v>2023</v>
      </c>
      <c r="C252" t="s">
        <v>120</v>
      </c>
      <c r="D252">
        <v>3</v>
      </c>
    </row>
    <row r="253" spans="1:4">
      <c r="A253" s="21" t="s">
        <v>62</v>
      </c>
      <c r="B253" s="21">
        <v>2023</v>
      </c>
      <c r="C253" t="s">
        <v>119</v>
      </c>
      <c r="D253">
        <v>4</v>
      </c>
    </row>
    <row r="254" spans="1:4">
      <c r="A254" s="21" t="s">
        <v>67</v>
      </c>
      <c r="B254" s="21">
        <v>2020</v>
      </c>
      <c r="C254" t="s">
        <v>119</v>
      </c>
      <c r="D254">
        <v>1</v>
      </c>
    </row>
    <row r="255" spans="1:4">
      <c r="A255" s="21" t="s">
        <v>67</v>
      </c>
      <c r="B255" s="21">
        <v>2023</v>
      </c>
      <c r="C255" t="s">
        <v>120</v>
      </c>
      <c r="D255">
        <v>6</v>
      </c>
    </row>
    <row r="256" spans="1:4">
      <c r="A256" s="21" t="s">
        <v>67</v>
      </c>
      <c r="B256" s="21">
        <v>2023</v>
      </c>
      <c r="C256" t="s">
        <v>119</v>
      </c>
      <c r="D256">
        <v>3</v>
      </c>
    </row>
    <row r="257" spans="1:4">
      <c r="A257" s="21" t="s">
        <v>104</v>
      </c>
      <c r="B257" s="21">
        <v>2023</v>
      </c>
      <c r="C257" t="s">
        <v>120</v>
      </c>
      <c r="D257">
        <v>2</v>
      </c>
    </row>
    <row r="258" spans="1:4">
      <c r="A258" s="21" t="s">
        <v>104</v>
      </c>
      <c r="B258" s="21">
        <v>2023</v>
      </c>
      <c r="C258" t="s">
        <v>119</v>
      </c>
      <c r="D258">
        <v>2</v>
      </c>
    </row>
    <row r="259" spans="1:4">
      <c r="A259" s="21" t="s">
        <v>104</v>
      </c>
      <c r="B259" s="21" t="s">
        <v>248</v>
      </c>
      <c r="C259" t="s">
        <v>120</v>
      </c>
      <c r="D259">
        <v>3</v>
      </c>
    </row>
    <row r="260" spans="1:4">
      <c r="A260" s="21" t="s">
        <v>8</v>
      </c>
      <c r="B260" s="21">
        <v>2020</v>
      </c>
      <c r="C260" t="s">
        <v>120</v>
      </c>
      <c r="D260">
        <v>1</v>
      </c>
    </row>
    <row r="261" spans="1:4">
      <c r="A261" s="21" t="s">
        <v>8</v>
      </c>
      <c r="B261" s="21">
        <v>2022</v>
      </c>
      <c r="C261" t="s">
        <v>120</v>
      </c>
      <c r="D261">
        <v>2</v>
      </c>
    </row>
    <row r="262" spans="1:4">
      <c r="A262" s="21" t="s">
        <v>8</v>
      </c>
      <c r="B262" s="21">
        <v>2022</v>
      </c>
      <c r="C262" t="s">
        <v>119</v>
      </c>
      <c r="D262">
        <v>1</v>
      </c>
    </row>
    <row r="263" spans="1:4">
      <c r="A263" s="21" t="s">
        <v>8</v>
      </c>
      <c r="B263" s="21">
        <v>2023</v>
      </c>
      <c r="C263" t="s">
        <v>120</v>
      </c>
      <c r="D263">
        <v>1</v>
      </c>
    </row>
    <row r="264" spans="1:4">
      <c r="A264" s="21" t="s">
        <v>8</v>
      </c>
      <c r="B264" s="21">
        <v>2023</v>
      </c>
      <c r="C264" t="s">
        <v>119</v>
      </c>
      <c r="D264">
        <v>1</v>
      </c>
    </row>
    <row r="265" spans="1:4">
      <c r="A265" s="21" t="s">
        <v>8</v>
      </c>
      <c r="B265" s="21" t="s">
        <v>243</v>
      </c>
      <c r="C265" t="s">
        <v>119</v>
      </c>
      <c r="D265">
        <v>2</v>
      </c>
    </row>
    <row r="266" spans="1:4">
      <c r="A266" s="21" t="s">
        <v>139</v>
      </c>
      <c r="B266" s="21">
        <v>2023</v>
      </c>
      <c r="C266" t="s">
        <v>119</v>
      </c>
      <c r="D266">
        <v>2</v>
      </c>
    </row>
    <row r="267" spans="1:4">
      <c r="A267" s="21" t="s">
        <v>103</v>
      </c>
      <c r="B267" s="21">
        <v>2023</v>
      </c>
      <c r="C267" t="s">
        <v>119</v>
      </c>
      <c r="D267">
        <v>1</v>
      </c>
    </row>
    <row r="268" spans="1:4">
      <c r="A268" s="21" t="s">
        <v>103</v>
      </c>
      <c r="B268" s="21" t="s">
        <v>243</v>
      </c>
      <c r="C268" t="s">
        <v>120</v>
      </c>
      <c r="D268">
        <v>2</v>
      </c>
    </row>
    <row r="269" spans="1:4">
      <c r="A269" s="21" t="s">
        <v>71</v>
      </c>
      <c r="B269" s="21">
        <v>2021</v>
      </c>
      <c r="C269" t="s">
        <v>120</v>
      </c>
      <c r="D269">
        <v>5</v>
      </c>
    </row>
    <row r="270" spans="1:4">
      <c r="A270" s="21" t="s">
        <v>71</v>
      </c>
      <c r="B270" s="21">
        <v>2021</v>
      </c>
      <c r="C270" t="s">
        <v>119</v>
      </c>
      <c r="D270">
        <v>1</v>
      </c>
    </row>
    <row r="271" spans="1:4">
      <c r="A271" s="21" t="s">
        <v>71</v>
      </c>
      <c r="B271" s="21">
        <v>2023</v>
      </c>
      <c r="C271" t="s">
        <v>120</v>
      </c>
      <c r="D271">
        <v>3</v>
      </c>
    </row>
    <row r="272" spans="1:4">
      <c r="A272" s="21" t="s">
        <v>71</v>
      </c>
      <c r="B272" s="21">
        <v>2023</v>
      </c>
      <c r="C272" t="s">
        <v>119</v>
      </c>
      <c r="D272">
        <v>2</v>
      </c>
    </row>
    <row r="273" spans="1:4">
      <c r="A273" s="21" t="s">
        <v>71</v>
      </c>
      <c r="B273" s="21" t="s">
        <v>248</v>
      </c>
      <c r="C273" t="s">
        <v>120</v>
      </c>
      <c r="D273">
        <v>3</v>
      </c>
    </row>
    <row r="274" spans="1:4">
      <c r="A274" s="21" t="s">
        <v>15</v>
      </c>
      <c r="B274" s="21">
        <v>2020</v>
      </c>
      <c r="C274" t="s">
        <v>120</v>
      </c>
      <c r="D274">
        <v>8</v>
      </c>
    </row>
    <row r="275" spans="1:4">
      <c r="A275" s="21" t="s">
        <v>15</v>
      </c>
      <c r="B275" s="21">
        <v>2020</v>
      </c>
      <c r="C275" t="s">
        <v>119</v>
      </c>
      <c r="D275">
        <v>6</v>
      </c>
    </row>
    <row r="276" spans="1:4">
      <c r="A276" s="21" t="s">
        <v>15</v>
      </c>
      <c r="B276" s="21">
        <v>2021</v>
      </c>
      <c r="C276" t="s">
        <v>120</v>
      </c>
      <c r="D276">
        <v>1</v>
      </c>
    </row>
    <row r="277" spans="1:4">
      <c r="A277" s="21" t="s">
        <v>15</v>
      </c>
      <c r="B277" s="21">
        <v>2021</v>
      </c>
      <c r="C277" t="s">
        <v>119</v>
      </c>
      <c r="D277">
        <v>3</v>
      </c>
    </row>
    <row r="278" spans="1:4">
      <c r="A278" s="21" t="s">
        <v>15</v>
      </c>
      <c r="B278" s="21">
        <v>2022</v>
      </c>
      <c r="C278" t="s">
        <v>120</v>
      </c>
      <c r="D278">
        <v>6</v>
      </c>
    </row>
    <row r="279" spans="1:4">
      <c r="A279" s="21" t="s">
        <v>15</v>
      </c>
      <c r="B279" s="21">
        <v>2022</v>
      </c>
      <c r="C279" t="s">
        <v>119</v>
      </c>
      <c r="D279">
        <v>7</v>
      </c>
    </row>
    <row r="280" spans="1:4">
      <c r="A280" s="21" t="s">
        <v>15</v>
      </c>
      <c r="B280" s="21">
        <v>2023</v>
      </c>
      <c r="C280" t="s">
        <v>120</v>
      </c>
      <c r="D280">
        <v>4</v>
      </c>
    </row>
    <row r="281" spans="1:4">
      <c r="A281" s="21" t="s">
        <v>15</v>
      </c>
      <c r="B281" s="21">
        <v>2023</v>
      </c>
      <c r="C281" t="s">
        <v>119</v>
      </c>
      <c r="D281">
        <v>3</v>
      </c>
    </row>
    <row r="282" spans="1:4">
      <c r="A282" s="21" t="s">
        <v>15</v>
      </c>
      <c r="B282" s="21" t="s">
        <v>243</v>
      </c>
      <c r="C282" t="s">
        <v>120</v>
      </c>
      <c r="D282">
        <v>7</v>
      </c>
    </row>
    <row r="283" spans="1:4">
      <c r="A283" s="21" t="s">
        <v>15</v>
      </c>
      <c r="B283" s="21" t="s">
        <v>243</v>
      </c>
      <c r="C283" t="s">
        <v>119</v>
      </c>
      <c r="D283">
        <v>4</v>
      </c>
    </row>
    <row r="284" spans="1:4">
      <c r="A284" s="21" t="s">
        <v>15</v>
      </c>
      <c r="B284" s="21" t="s">
        <v>248</v>
      </c>
      <c r="C284" t="s">
        <v>120</v>
      </c>
      <c r="D284">
        <v>1</v>
      </c>
    </row>
    <row r="285" spans="1:4">
      <c r="A285" s="21" t="s">
        <v>15</v>
      </c>
      <c r="B285" s="21" t="s">
        <v>248</v>
      </c>
      <c r="C285" t="s">
        <v>119</v>
      </c>
      <c r="D285">
        <v>1</v>
      </c>
    </row>
    <row r="286" spans="1:4">
      <c r="A286" s="21" t="s">
        <v>81</v>
      </c>
      <c r="B286" s="21">
        <v>2021</v>
      </c>
      <c r="C286" t="s">
        <v>120</v>
      </c>
      <c r="D286">
        <v>1</v>
      </c>
    </row>
    <row r="287" spans="1:4">
      <c r="A287" s="21" t="s">
        <v>81</v>
      </c>
      <c r="B287" s="21">
        <v>2023</v>
      </c>
      <c r="C287" t="s">
        <v>120</v>
      </c>
      <c r="D287">
        <v>2</v>
      </c>
    </row>
    <row r="288" spans="1:4">
      <c r="A288" s="21" t="s">
        <v>81</v>
      </c>
      <c r="B288" s="21" t="s">
        <v>248</v>
      </c>
      <c r="C288" t="s">
        <v>119</v>
      </c>
      <c r="D288">
        <v>1</v>
      </c>
    </row>
    <row r="289" spans="1:4">
      <c r="A289" s="21" t="s">
        <v>0</v>
      </c>
      <c r="B289" s="21">
        <v>2020</v>
      </c>
      <c r="C289" t="s">
        <v>120</v>
      </c>
      <c r="D289">
        <v>8</v>
      </c>
    </row>
    <row r="290" spans="1:4">
      <c r="A290" s="21" t="s">
        <v>0</v>
      </c>
      <c r="B290" s="21">
        <v>2020</v>
      </c>
      <c r="C290" t="s">
        <v>119</v>
      </c>
      <c r="D290">
        <v>7</v>
      </c>
    </row>
    <row r="291" spans="1:4">
      <c r="A291" s="21" t="s">
        <v>0</v>
      </c>
      <c r="B291" s="21">
        <v>2021</v>
      </c>
      <c r="C291" t="s">
        <v>120</v>
      </c>
      <c r="D291">
        <v>1</v>
      </c>
    </row>
    <row r="292" spans="1:4">
      <c r="A292" s="21" t="s">
        <v>0</v>
      </c>
      <c r="B292" s="21">
        <v>2021</v>
      </c>
      <c r="C292" t="s">
        <v>119</v>
      </c>
      <c r="D292">
        <v>1</v>
      </c>
    </row>
    <row r="293" spans="1:4">
      <c r="A293" s="21" t="s">
        <v>0</v>
      </c>
      <c r="B293" s="21">
        <v>2022</v>
      </c>
      <c r="C293" t="s">
        <v>119</v>
      </c>
      <c r="D293">
        <v>1</v>
      </c>
    </row>
    <row r="294" spans="1:4">
      <c r="A294" s="21" t="s">
        <v>0</v>
      </c>
      <c r="B294" s="21">
        <v>2023</v>
      </c>
      <c r="C294" t="s">
        <v>120</v>
      </c>
      <c r="D294">
        <v>10</v>
      </c>
    </row>
    <row r="295" spans="1:4">
      <c r="A295" s="21" t="s">
        <v>0</v>
      </c>
      <c r="B295" s="21">
        <v>2023</v>
      </c>
      <c r="C295" t="s">
        <v>119</v>
      </c>
      <c r="D295">
        <v>2</v>
      </c>
    </row>
    <row r="296" spans="1:4">
      <c r="A296" s="21" t="s">
        <v>0</v>
      </c>
      <c r="B296" s="21" t="s">
        <v>243</v>
      </c>
      <c r="C296" t="s">
        <v>120</v>
      </c>
      <c r="D296">
        <v>5</v>
      </c>
    </row>
    <row r="297" spans="1:4">
      <c r="A297" s="21" t="s">
        <v>0</v>
      </c>
      <c r="B297" s="21" t="s">
        <v>243</v>
      </c>
      <c r="C297" t="s">
        <v>119</v>
      </c>
      <c r="D297">
        <v>2</v>
      </c>
    </row>
    <row r="298" spans="1:4">
      <c r="A298" s="21" t="s">
        <v>0</v>
      </c>
      <c r="B298" s="21" t="s">
        <v>248</v>
      </c>
      <c r="C298" t="s">
        <v>120</v>
      </c>
      <c r="D298">
        <v>1</v>
      </c>
    </row>
    <row r="299" spans="1:4">
      <c r="A299" s="21" t="s">
        <v>87</v>
      </c>
      <c r="B299" s="21">
        <v>2022</v>
      </c>
      <c r="C299" t="s">
        <v>120</v>
      </c>
      <c r="D299">
        <v>1</v>
      </c>
    </row>
    <row r="300" spans="1:4">
      <c r="A300" s="21" t="s">
        <v>87</v>
      </c>
      <c r="B300" s="21">
        <v>2022</v>
      </c>
      <c r="C300" t="s">
        <v>119</v>
      </c>
      <c r="D300">
        <v>2</v>
      </c>
    </row>
    <row r="301" spans="1:4">
      <c r="A301" s="21" t="s">
        <v>87</v>
      </c>
      <c r="B301" s="21">
        <v>2023</v>
      </c>
      <c r="C301" t="s">
        <v>120</v>
      </c>
      <c r="D301">
        <v>4</v>
      </c>
    </row>
    <row r="302" spans="1:4">
      <c r="A302" s="21" t="s">
        <v>87</v>
      </c>
      <c r="B302" s="21">
        <v>2023</v>
      </c>
      <c r="C302" t="s">
        <v>119</v>
      </c>
      <c r="D302">
        <v>1</v>
      </c>
    </row>
    <row r="303" spans="1:4">
      <c r="A303" s="21" t="s">
        <v>87</v>
      </c>
      <c r="B303" s="21" t="s">
        <v>243</v>
      </c>
      <c r="C303" t="s">
        <v>119</v>
      </c>
      <c r="D303">
        <v>2</v>
      </c>
    </row>
    <row r="304" spans="1:4">
      <c r="A304" s="21" t="s">
        <v>88</v>
      </c>
      <c r="B304" s="21">
        <v>2022</v>
      </c>
      <c r="C304" t="s">
        <v>120</v>
      </c>
      <c r="D304">
        <v>1</v>
      </c>
    </row>
    <row r="305" spans="1:4">
      <c r="A305" s="21" t="s">
        <v>88</v>
      </c>
      <c r="B305" s="21">
        <v>2022</v>
      </c>
      <c r="C305" t="s">
        <v>119</v>
      </c>
      <c r="D305">
        <v>5</v>
      </c>
    </row>
    <row r="306" spans="1:4">
      <c r="A306" s="21" t="s">
        <v>88</v>
      </c>
      <c r="B306" s="21">
        <v>2023</v>
      </c>
      <c r="C306" t="s">
        <v>120</v>
      </c>
      <c r="D306">
        <v>3</v>
      </c>
    </row>
    <row r="307" spans="1:4">
      <c r="A307" s="21" t="s">
        <v>88</v>
      </c>
      <c r="B307" s="21">
        <v>2023</v>
      </c>
      <c r="C307" t="s">
        <v>119</v>
      </c>
      <c r="D307">
        <v>2</v>
      </c>
    </row>
    <row r="308" spans="1:4">
      <c r="A308" s="21" t="s">
        <v>88</v>
      </c>
      <c r="B308" s="21" t="s">
        <v>243</v>
      </c>
      <c r="C308" t="s">
        <v>120</v>
      </c>
      <c r="D308">
        <v>1</v>
      </c>
    </row>
    <row r="309" spans="1:4">
      <c r="A309" s="21" t="s">
        <v>58</v>
      </c>
      <c r="B309" s="21">
        <v>2020</v>
      </c>
      <c r="C309" t="s">
        <v>120</v>
      </c>
      <c r="D309">
        <v>1</v>
      </c>
    </row>
    <row r="310" spans="1:4">
      <c r="A310" s="21" t="s">
        <v>58</v>
      </c>
      <c r="B310" s="21">
        <v>2020</v>
      </c>
      <c r="C310" t="s">
        <v>119</v>
      </c>
      <c r="D310">
        <v>4</v>
      </c>
    </row>
    <row r="311" spans="1:4">
      <c r="A311" s="21" t="s">
        <v>58</v>
      </c>
      <c r="B311" s="21">
        <v>2021</v>
      </c>
      <c r="C311" t="s">
        <v>120</v>
      </c>
      <c r="D311">
        <v>18</v>
      </c>
    </row>
    <row r="312" spans="1:4">
      <c r="A312" s="21" t="s">
        <v>58</v>
      </c>
      <c r="B312" s="21">
        <v>2021</v>
      </c>
      <c r="C312" t="s">
        <v>119</v>
      </c>
      <c r="D312">
        <v>6</v>
      </c>
    </row>
    <row r="313" spans="1:4">
      <c r="A313" s="21" t="s">
        <v>58</v>
      </c>
      <c r="B313" s="21">
        <v>2022</v>
      </c>
      <c r="C313" t="s">
        <v>120</v>
      </c>
      <c r="D313">
        <v>4</v>
      </c>
    </row>
    <row r="314" spans="1:4">
      <c r="A314" s="21" t="s">
        <v>58</v>
      </c>
      <c r="B314" s="21">
        <v>2022</v>
      </c>
      <c r="C314" t="s">
        <v>119</v>
      </c>
      <c r="D314">
        <v>6</v>
      </c>
    </row>
    <row r="315" spans="1:4">
      <c r="A315" s="21" t="s">
        <v>58</v>
      </c>
      <c r="B315" s="21">
        <v>2023</v>
      </c>
      <c r="C315" t="s">
        <v>120</v>
      </c>
      <c r="D315">
        <v>10</v>
      </c>
    </row>
    <row r="316" spans="1:4">
      <c r="A316" s="21" t="s">
        <v>58</v>
      </c>
      <c r="B316" s="21">
        <v>2023</v>
      </c>
      <c r="C316" t="s">
        <v>119</v>
      </c>
      <c r="D316">
        <v>7</v>
      </c>
    </row>
    <row r="317" spans="1:4">
      <c r="A317" s="21" t="s">
        <v>58</v>
      </c>
      <c r="B317" s="21" t="s">
        <v>243</v>
      </c>
      <c r="C317" t="s">
        <v>120</v>
      </c>
      <c r="D317">
        <v>3</v>
      </c>
    </row>
    <row r="318" spans="1:4">
      <c r="A318" s="21" t="s">
        <v>58</v>
      </c>
      <c r="B318" s="21" t="s">
        <v>243</v>
      </c>
      <c r="C318" t="s">
        <v>119</v>
      </c>
      <c r="D318">
        <v>2</v>
      </c>
    </row>
    <row r="319" spans="1:4">
      <c r="A319" s="21" t="s">
        <v>58</v>
      </c>
      <c r="B319" s="21" t="s">
        <v>248</v>
      </c>
      <c r="C319" t="s">
        <v>120</v>
      </c>
      <c r="D319">
        <v>2</v>
      </c>
    </row>
    <row r="320" spans="1:4">
      <c r="A320" s="21" t="s">
        <v>58</v>
      </c>
      <c r="B320" s="21" t="s">
        <v>248</v>
      </c>
      <c r="C320" t="s">
        <v>119</v>
      </c>
      <c r="D320">
        <v>2</v>
      </c>
    </row>
    <row r="321" spans="1:4">
      <c r="A321" s="21" t="s">
        <v>42</v>
      </c>
      <c r="B321" s="21">
        <v>2020</v>
      </c>
      <c r="C321" t="s">
        <v>120</v>
      </c>
      <c r="D321">
        <v>1</v>
      </c>
    </row>
    <row r="322" spans="1:4">
      <c r="A322" s="21" t="s">
        <v>42</v>
      </c>
      <c r="B322" s="21">
        <v>2020</v>
      </c>
      <c r="C322" t="s">
        <v>119</v>
      </c>
      <c r="D322">
        <v>2</v>
      </c>
    </row>
    <row r="323" spans="1:4">
      <c r="A323" s="21" t="s">
        <v>42</v>
      </c>
      <c r="B323" s="21">
        <v>2022</v>
      </c>
      <c r="C323" t="s">
        <v>120</v>
      </c>
      <c r="D323">
        <v>1</v>
      </c>
    </row>
    <row r="324" spans="1:4">
      <c r="A324" s="21" t="s">
        <v>42</v>
      </c>
      <c r="B324" s="21">
        <v>2022</v>
      </c>
      <c r="C324" t="s">
        <v>119</v>
      </c>
      <c r="D324">
        <v>2</v>
      </c>
    </row>
    <row r="325" spans="1:4">
      <c r="A325" s="21" t="s">
        <v>42</v>
      </c>
      <c r="B325" s="21">
        <v>2023</v>
      </c>
      <c r="C325" t="s">
        <v>120</v>
      </c>
      <c r="D325">
        <v>1</v>
      </c>
    </row>
    <row r="326" spans="1:4">
      <c r="A326" s="21" t="s">
        <v>42</v>
      </c>
      <c r="B326" s="21">
        <v>2023</v>
      </c>
      <c r="C326" t="s">
        <v>119</v>
      </c>
      <c r="D326">
        <v>2</v>
      </c>
    </row>
    <row r="327" spans="1:4">
      <c r="A327" s="21" t="s">
        <v>42</v>
      </c>
      <c r="B327" s="21" t="s">
        <v>243</v>
      </c>
      <c r="C327" t="s">
        <v>120</v>
      </c>
      <c r="D327">
        <v>2</v>
      </c>
    </row>
    <row r="328" spans="1:4">
      <c r="A328" s="21" t="s">
        <v>42</v>
      </c>
      <c r="B328" s="21" t="s">
        <v>243</v>
      </c>
      <c r="C328" t="s">
        <v>119</v>
      </c>
      <c r="D328">
        <v>1</v>
      </c>
    </row>
    <row r="329" spans="1:4">
      <c r="A329" s="21" t="s">
        <v>42</v>
      </c>
      <c r="B329" s="21" t="s">
        <v>248</v>
      </c>
      <c r="C329" t="s">
        <v>120</v>
      </c>
      <c r="D329">
        <v>1</v>
      </c>
    </row>
    <row r="330" spans="1:4">
      <c r="A330" s="21" t="s">
        <v>246</v>
      </c>
      <c r="B330" s="21" t="s">
        <v>243</v>
      </c>
      <c r="C330" t="s">
        <v>120</v>
      </c>
      <c r="D330">
        <v>1</v>
      </c>
    </row>
    <row r="331" spans="1:4">
      <c r="A331" s="21" t="s">
        <v>246</v>
      </c>
      <c r="B331" s="21" t="s">
        <v>248</v>
      </c>
      <c r="C331" t="s">
        <v>120</v>
      </c>
      <c r="D331">
        <v>1</v>
      </c>
    </row>
    <row r="332" spans="1:4">
      <c r="A332" s="21" t="s">
        <v>246</v>
      </c>
      <c r="B332" s="21" t="s">
        <v>248</v>
      </c>
      <c r="C332" t="s">
        <v>119</v>
      </c>
      <c r="D332">
        <v>2</v>
      </c>
    </row>
    <row r="333" spans="1:4">
      <c r="A333" s="21" t="s">
        <v>79</v>
      </c>
      <c r="B333" s="21">
        <v>2020</v>
      </c>
      <c r="C333" t="s">
        <v>119</v>
      </c>
      <c r="D333">
        <v>4</v>
      </c>
    </row>
    <row r="334" spans="1:4">
      <c r="A334" s="21" t="s">
        <v>79</v>
      </c>
      <c r="B334" s="21">
        <v>2021</v>
      </c>
      <c r="C334" t="s">
        <v>120</v>
      </c>
      <c r="D334">
        <v>2</v>
      </c>
    </row>
    <row r="335" spans="1:4">
      <c r="A335" s="21" t="s">
        <v>79</v>
      </c>
      <c r="B335" s="21">
        <v>2021</v>
      </c>
      <c r="C335" t="s">
        <v>119</v>
      </c>
      <c r="D335">
        <v>4</v>
      </c>
    </row>
    <row r="336" spans="1:4">
      <c r="A336" s="21" t="s">
        <v>79</v>
      </c>
      <c r="B336" s="21">
        <v>2022</v>
      </c>
      <c r="C336" t="s">
        <v>120</v>
      </c>
      <c r="D336">
        <v>11</v>
      </c>
    </row>
    <row r="337" spans="1:4">
      <c r="A337" s="21" t="s">
        <v>79</v>
      </c>
      <c r="B337" s="21">
        <v>2022</v>
      </c>
      <c r="C337" t="s">
        <v>119</v>
      </c>
      <c r="D337">
        <v>2</v>
      </c>
    </row>
    <row r="338" spans="1:4">
      <c r="A338" s="21" t="s">
        <v>79</v>
      </c>
      <c r="B338" s="21">
        <v>2023</v>
      </c>
      <c r="C338" t="s">
        <v>120</v>
      </c>
      <c r="D338">
        <v>7</v>
      </c>
    </row>
    <row r="339" spans="1:4">
      <c r="A339" s="21" t="s">
        <v>79</v>
      </c>
      <c r="B339" s="21">
        <v>2023</v>
      </c>
      <c r="C339" t="s">
        <v>119</v>
      </c>
      <c r="D339">
        <v>2</v>
      </c>
    </row>
    <row r="340" spans="1:4">
      <c r="A340" s="21" t="s">
        <v>79</v>
      </c>
      <c r="B340" s="21" t="s">
        <v>243</v>
      </c>
      <c r="C340" t="s">
        <v>120</v>
      </c>
      <c r="D340">
        <v>2</v>
      </c>
    </row>
    <row r="341" spans="1:4">
      <c r="A341" s="21" t="s">
        <v>79</v>
      </c>
      <c r="B341" s="21" t="s">
        <v>243</v>
      </c>
      <c r="C341" t="s">
        <v>119</v>
      </c>
      <c r="D341">
        <v>5</v>
      </c>
    </row>
    <row r="342" spans="1:4">
      <c r="A342" s="21" t="s">
        <v>79</v>
      </c>
      <c r="B342" s="21" t="s">
        <v>248</v>
      </c>
      <c r="C342" t="s">
        <v>120</v>
      </c>
      <c r="D342">
        <v>1</v>
      </c>
    </row>
    <row r="343" spans="1:4">
      <c r="A343" s="21" t="s">
        <v>79</v>
      </c>
      <c r="B343" s="21" t="s">
        <v>248</v>
      </c>
      <c r="C343" t="s">
        <v>119</v>
      </c>
      <c r="D343">
        <v>2</v>
      </c>
    </row>
    <row r="344" spans="1:4">
      <c r="A344" s="21" t="s">
        <v>99</v>
      </c>
      <c r="B344" s="21">
        <v>2023</v>
      </c>
      <c r="C344" t="s">
        <v>120</v>
      </c>
      <c r="D344">
        <v>3</v>
      </c>
    </row>
    <row r="345" spans="1:4">
      <c r="A345" s="21" t="s">
        <v>99</v>
      </c>
      <c r="B345" s="21">
        <v>2023</v>
      </c>
      <c r="C345" t="s">
        <v>119</v>
      </c>
      <c r="D345">
        <v>2</v>
      </c>
    </row>
    <row r="346" spans="1:4">
      <c r="A346" s="21" t="s">
        <v>99</v>
      </c>
      <c r="B346" s="21" t="s">
        <v>243</v>
      </c>
      <c r="C346" t="s">
        <v>120</v>
      </c>
      <c r="D346">
        <v>1</v>
      </c>
    </row>
    <row r="347" spans="1:4">
      <c r="A347" s="21" t="s">
        <v>99</v>
      </c>
      <c r="B347" s="21" t="s">
        <v>243</v>
      </c>
      <c r="C347" t="s">
        <v>119</v>
      </c>
      <c r="D347">
        <v>1</v>
      </c>
    </row>
    <row r="348" spans="1:4">
      <c r="A348" s="21" t="s">
        <v>99</v>
      </c>
      <c r="B348" s="21" t="s">
        <v>248</v>
      </c>
      <c r="C348" t="s">
        <v>120</v>
      </c>
      <c r="D348">
        <v>1</v>
      </c>
    </row>
    <row r="349" spans="1:4">
      <c r="A349" s="21" t="s">
        <v>18</v>
      </c>
      <c r="B349" s="21">
        <v>2021</v>
      </c>
      <c r="C349" t="s">
        <v>120</v>
      </c>
      <c r="D349">
        <v>2</v>
      </c>
    </row>
    <row r="350" spans="1:4">
      <c r="A350" s="21" t="s">
        <v>18</v>
      </c>
      <c r="B350" s="21">
        <v>2021</v>
      </c>
      <c r="C350" t="s">
        <v>119</v>
      </c>
      <c r="D350">
        <v>5</v>
      </c>
    </row>
    <row r="351" spans="1:4">
      <c r="A351" s="21" t="s">
        <v>18</v>
      </c>
      <c r="B351" s="21">
        <v>2022</v>
      </c>
      <c r="C351" t="s">
        <v>119</v>
      </c>
      <c r="D351">
        <v>1</v>
      </c>
    </row>
    <row r="352" spans="1:4">
      <c r="A352" s="21" t="s">
        <v>18</v>
      </c>
      <c r="B352" s="21">
        <v>2023</v>
      </c>
      <c r="C352" t="s">
        <v>120</v>
      </c>
      <c r="D352">
        <v>3</v>
      </c>
    </row>
    <row r="353" spans="1:4">
      <c r="A353" s="21" t="s">
        <v>18</v>
      </c>
      <c r="B353" s="21">
        <v>2023</v>
      </c>
      <c r="C353" t="s">
        <v>119</v>
      </c>
      <c r="D353">
        <v>3</v>
      </c>
    </row>
    <row r="354" spans="1:4">
      <c r="A354" s="21" t="s">
        <v>18</v>
      </c>
      <c r="B354" s="21" t="s">
        <v>243</v>
      </c>
      <c r="C354" t="s">
        <v>120</v>
      </c>
      <c r="D354">
        <v>1</v>
      </c>
    </row>
    <row r="355" spans="1:4">
      <c r="A355" s="21" t="s">
        <v>18</v>
      </c>
      <c r="B355" s="21" t="s">
        <v>243</v>
      </c>
      <c r="C355" t="s">
        <v>119</v>
      </c>
      <c r="D355">
        <v>6</v>
      </c>
    </row>
    <row r="356" spans="1:4">
      <c r="A356" s="21" t="s">
        <v>140</v>
      </c>
      <c r="B356" s="21">
        <v>2020</v>
      </c>
      <c r="C356" t="s">
        <v>119</v>
      </c>
      <c r="D356">
        <v>2</v>
      </c>
    </row>
    <row r="357" spans="1:4">
      <c r="A357" s="21" t="s">
        <v>140</v>
      </c>
      <c r="B357" s="21" t="s">
        <v>243</v>
      </c>
      <c r="C357" t="s">
        <v>120</v>
      </c>
      <c r="D357">
        <v>2</v>
      </c>
    </row>
    <row r="358" spans="1:4">
      <c r="A358" s="21" t="s">
        <v>140</v>
      </c>
      <c r="B358" s="21" t="s">
        <v>243</v>
      </c>
      <c r="C358" t="s">
        <v>119</v>
      </c>
      <c r="D358">
        <v>3</v>
      </c>
    </row>
    <row r="359" spans="1:4">
      <c r="A359" s="21" t="s">
        <v>257</v>
      </c>
      <c r="B359" s="21" t="s">
        <v>248</v>
      </c>
      <c r="C359" t="s">
        <v>119</v>
      </c>
      <c r="D359">
        <v>1</v>
      </c>
    </row>
    <row r="360" spans="1:4">
      <c r="A360" s="21" t="s">
        <v>36</v>
      </c>
      <c r="B360" s="21">
        <v>2020</v>
      </c>
      <c r="C360" t="s">
        <v>120</v>
      </c>
      <c r="D360">
        <v>3</v>
      </c>
    </row>
    <row r="361" spans="1:4">
      <c r="A361" s="21" t="s">
        <v>36</v>
      </c>
      <c r="B361" s="21">
        <v>2020</v>
      </c>
      <c r="C361" t="s">
        <v>119</v>
      </c>
      <c r="D361">
        <v>3</v>
      </c>
    </row>
    <row r="362" spans="1:4">
      <c r="A362" s="21" t="s">
        <v>36</v>
      </c>
      <c r="B362" s="21">
        <v>2021</v>
      </c>
      <c r="C362" t="s">
        <v>120</v>
      </c>
      <c r="D362">
        <v>1</v>
      </c>
    </row>
    <row r="363" spans="1:4">
      <c r="A363" s="21" t="s">
        <v>36</v>
      </c>
      <c r="B363" s="21">
        <v>2021</v>
      </c>
      <c r="C363" t="s">
        <v>119</v>
      </c>
      <c r="D363">
        <v>2</v>
      </c>
    </row>
    <row r="364" spans="1:4">
      <c r="A364" s="21" t="s">
        <v>36</v>
      </c>
      <c r="B364" s="21">
        <v>2022</v>
      </c>
      <c r="C364" t="s">
        <v>120</v>
      </c>
      <c r="D364">
        <v>16</v>
      </c>
    </row>
    <row r="365" spans="1:4">
      <c r="A365" s="21" t="s">
        <v>36</v>
      </c>
      <c r="B365" s="21">
        <v>2022</v>
      </c>
      <c r="C365" t="s">
        <v>119</v>
      </c>
      <c r="D365">
        <v>7</v>
      </c>
    </row>
    <row r="366" spans="1:4">
      <c r="A366" s="21" t="s">
        <v>36</v>
      </c>
      <c r="B366" s="21">
        <v>2023</v>
      </c>
      <c r="C366" t="s">
        <v>120</v>
      </c>
      <c r="D366">
        <v>16</v>
      </c>
    </row>
    <row r="367" spans="1:4">
      <c r="A367" s="21" t="s">
        <v>36</v>
      </c>
      <c r="B367" s="21">
        <v>2023</v>
      </c>
      <c r="C367" t="s">
        <v>119</v>
      </c>
      <c r="D367">
        <v>14</v>
      </c>
    </row>
    <row r="368" spans="1:4">
      <c r="A368" s="21" t="s">
        <v>36</v>
      </c>
      <c r="B368" s="21" t="s">
        <v>243</v>
      </c>
      <c r="C368" t="s">
        <v>120</v>
      </c>
      <c r="D368">
        <v>17</v>
      </c>
    </row>
    <row r="369" spans="1:4">
      <c r="A369" s="21" t="s">
        <v>36</v>
      </c>
      <c r="B369" s="21" t="s">
        <v>243</v>
      </c>
      <c r="C369" t="s">
        <v>119</v>
      </c>
      <c r="D369">
        <v>11</v>
      </c>
    </row>
    <row r="370" spans="1:4">
      <c r="A370" s="21" t="s">
        <v>36</v>
      </c>
      <c r="B370" s="21" t="s">
        <v>248</v>
      </c>
      <c r="C370" t="s">
        <v>120</v>
      </c>
      <c r="D370">
        <v>9</v>
      </c>
    </row>
    <row r="371" spans="1:4">
      <c r="A371" s="21" t="s">
        <v>36</v>
      </c>
      <c r="B371" s="21" t="s">
        <v>248</v>
      </c>
      <c r="C371" t="s">
        <v>119</v>
      </c>
      <c r="D371">
        <v>6</v>
      </c>
    </row>
    <row r="372" spans="1:4">
      <c r="A372" s="21" t="s">
        <v>92</v>
      </c>
      <c r="B372" s="21">
        <v>2022</v>
      </c>
      <c r="C372" t="s">
        <v>120</v>
      </c>
      <c r="D372">
        <v>1</v>
      </c>
    </row>
    <row r="373" spans="1:4">
      <c r="A373" s="21" t="s">
        <v>92</v>
      </c>
      <c r="B373" s="21">
        <v>2023</v>
      </c>
      <c r="C373" t="s">
        <v>120</v>
      </c>
      <c r="D373">
        <v>2</v>
      </c>
    </row>
    <row r="374" spans="1:4">
      <c r="A374" s="21" t="s">
        <v>92</v>
      </c>
      <c r="B374" s="21" t="s">
        <v>243</v>
      </c>
      <c r="C374" t="s">
        <v>120</v>
      </c>
      <c r="D374">
        <v>2</v>
      </c>
    </row>
    <row r="375" spans="1:4">
      <c r="A375" s="21" t="s">
        <v>94</v>
      </c>
      <c r="B375" s="21">
        <v>2022</v>
      </c>
      <c r="C375" t="s">
        <v>120</v>
      </c>
      <c r="D375">
        <v>1</v>
      </c>
    </row>
    <row r="376" spans="1:4">
      <c r="A376" s="21" t="s">
        <v>94</v>
      </c>
      <c r="B376" s="21">
        <v>2022</v>
      </c>
      <c r="C376" t="s">
        <v>119</v>
      </c>
      <c r="D376">
        <v>1</v>
      </c>
    </row>
    <row r="377" spans="1:4">
      <c r="A377" s="21" t="s">
        <v>94</v>
      </c>
      <c r="B377" s="21" t="s">
        <v>243</v>
      </c>
      <c r="C377" t="s">
        <v>120</v>
      </c>
      <c r="D377">
        <v>1</v>
      </c>
    </row>
    <row r="378" spans="1:4">
      <c r="A378" s="21" t="s">
        <v>82</v>
      </c>
      <c r="B378" s="21">
        <v>2021</v>
      </c>
      <c r="C378" t="s">
        <v>120</v>
      </c>
      <c r="D378">
        <v>1</v>
      </c>
    </row>
    <row r="379" spans="1:4">
      <c r="A379" s="21" t="s">
        <v>82</v>
      </c>
      <c r="B379" s="21">
        <v>2022</v>
      </c>
      <c r="C379" t="s">
        <v>120</v>
      </c>
      <c r="D379">
        <v>1</v>
      </c>
    </row>
    <row r="380" spans="1:4">
      <c r="A380" s="21" t="s">
        <v>82</v>
      </c>
      <c r="B380" s="21">
        <v>2022</v>
      </c>
      <c r="C380" t="s">
        <v>119</v>
      </c>
      <c r="D380">
        <v>5</v>
      </c>
    </row>
    <row r="381" spans="1:4">
      <c r="A381" s="21" t="s">
        <v>82</v>
      </c>
      <c r="B381" s="21">
        <v>2023</v>
      </c>
      <c r="C381" t="s">
        <v>120</v>
      </c>
      <c r="D381">
        <v>11</v>
      </c>
    </row>
    <row r="382" spans="1:4">
      <c r="A382" s="21" t="s">
        <v>82</v>
      </c>
      <c r="B382" s="21">
        <v>2023</v>
      </c>
      <c r="C382" t="s">
        <v>119</v>
      </c>
      <c r="D382">
        <v>6</v>
      </c>
    </row>
    <row r="383" spans="1:4">
      <c r="A383" s="21" t="s">
        <v>82</v>
      </c>
      <c r="B383" s="21" t="s">
        <v>243</v>
      </c>
      <c r="C383" t="s">
        <v>120</v>
      </c>
      <c r="D383">
        <v>1</v>
      </c>
    </row>
    <row r="384" spans="1:4">
      <c r="A384" s="21" t="s">
        <v>82</v>
      </c>
      <c r="B384" s="21" t="s">
        <v>243</v>
      </c>
      <c r="C384" t="s">
        <v>119</v>
      </c>
      <c r="D384">
        <v>1</v>
      </c>
    </row>
    <row r="385" spans="1:4">
      <c r="A385" s="21" t="s">
        <v>89</v>
      </c>
      <c r="B385" s="21">
        <v>2022</v>
      </c>
      <c r="C385" t="s">
        <v>120</v>
      </c>
      <c r="D385">
        <v>4</v>
      </c>
    </row>
    <row r="386" spans="1:4">
      <c r="A386" s="21" t="s">
        <v>89</v>
      </c>
      <c r="B386" s="21">
        <v>2022</v>
      </c>
      <c r="C386" t="s">
        <v>119</v>
      </c>
      <c r="D386">
        <v>6</v>
      </c>
    </row>
    <row r="387" spans="1:4">
      <c r="A387" s="21" t="s">
        <v>89</v>
      </c>
      <c r="B387" s="21">
        <v>2023</v>
      </c>
      <c r="C387" t="s">
        <v>120</v>
      </c>
      <c r="D387">
        <v>1</v>
      </c>
    </row>
    <row r="388" spans="1:4">
      <c r="A388" s="21" t="s">
        <v>89</v>
      </c>
      <c r="B388" s="21" t="s">
        <v>248</v>
      </c>
      <c r="C388" t="s">
        <v>120</v>
      </c>
      <c r="D388">
        <v>1</v>
      </c>
    </row>
    <row r="389" spans="1:4">
      <c r="A389" s="21" t="s">
        <v>34</v>
      </c>
      <c r="B389" s="21">
        <v>2020</v>
      </c>
      <c r="C389" t="s">
        <v>119</v>
      </c>
      <c r="D389">
        <v>1</v>
      </c>
    </row>
    <row r="390" spans="1:4">
      <c r="A390" s="21" t="s">
        <v>34</v>
      </c>
      <c r="B390" s="21">
        <v>2022</v>
      </c>
      <c r="C390" t="s">
        <v>120</v>
      </c>
      <c r="D390">
        <v>2</v>
      </c>
    </row>
    <row r="391" spans="1:4">
      <c r="A391" s="21" t="s">
        <v>34</v>
      </c>
      <c r="B391" s="21">
        <v>2022</v>
      </c>
      <c r="C391" t="s">
        <v>119</v>
      </c>
      <c r="D391">
        <v>3</v>
      </c>
    </row>
    <row r="392" spans="1:4">
      <c r="A392" s="21" t="s">
        <v>34</v>
      </c>
      <c r="B392" s="21">
        <v>2023</v>
      </c>
      <c r="C392" t="s">
        <v>119</v>
      </c>
      <c r="D392">
        <v>1</v>
      </c>
    </row>
    <row r="393" spans="1:4">
      <c r="A393" s="21" t="s">
        <v>34</v>
      </c>
      <c r="B393" s="21" t="s">
        <v>248</v>
      </c>
      <c r="C393" t="s">
        <v>119</v>
      </c>
      <c r="D393">
        <v>2</v>
      </c>
    </row>
    <row r="394" spans="1:4">
      <c r="A394" s="21" t="s">
        <v>73</v>
      </c>
      <c r="B394" s="21">
        <v>2021</v>
      </c>
      <c r="C394" t="s">
        <v>119</v>
      </c>
      <c r="D394">
        <v>2</v>
      </c>
    </row>
    <row r="395" spans="1:4">
      <c r="A395" s="21" t="s">
        <v>73</v>
      </c>
      <c r="B395" s="21">
        <v>2023</v>
      </c>
      <c r="C395" t="s">
        <v>120</v>
      </c>
      <c r="D395">
        <v>2</v>
      </c>
    </row>
    <row r="396" spans="1:4">
      <c r="A396" s="21" t="s">
        <v>73</v>
      </c>
      <c r="B396" s="21">
        <v>2023</v>
      </c>
      <c r="C396" t="s">
        <v>119</v>
      </c>
      <c r="D396">
        <v>2</v>
      </c>
    </row>
    <row r="397" spans="1:4">
      <c r="A397" s="21" t="s">
        <v>73</v>
      </c>
      <c r="B397" s="21" t="s">
        <v>243</v>
      </c>
      <c r="C397" t="s">
        <v>120</v>
      </c>
      <c r="D397">
        <v>1</v>
      </c>
    </row>
    <row r="398" spans="1:4">
      <c r="A398" s="21" t="s">
        <v>73</v>
      </c>
      <c r="B398" s="21" t="s">
        <v>243</v>
      </c>
      <c r="C398" t="s">
        <v>119</v>
      </c>
      <c r="D398">
        <v>3</v>
      </c>
    </row>
    <row r="399" spans="1:4">
      <c r="A399" s="21" t="s">
        <v>73</v>
      </c>
      <c r="B399" s="21" t="s">
        <v>248</v>
      </c>
      <c r="C399" t="s">
        <v>120</v>
      </c>
      <c r="D399">
        <v>1</v>
      </c>
    </row>
    <row r="400" spans="1:4">
      <c r="A400" s="21" t="s">
        <v>73</v>
      </c>
      <c r="B400" s="21" t="s">
        <v>248</v>
      </c>
      <c r="C400" t="s">
        <v>119</v>
      </c>
      <c r="D400">
        <v>1</v>
      </c>
    </row>
    <row r="401" spans="1:4">
      <c r="A401" s="21" t="s">
        <v>38</v>
      </c>
      <c r="B401" s="21">
        <v>2020</v>
      </c>
      <c r="C401" t="s">
        <v>120</v>
      </c>
      <c r="D401">
        <v>1</v>
      </c>
    </row>
    <row r="402" spans="1:4">
      <c r="A402" s="21" t="s">
        <v>38</v>
      </c>
      <c r="B402" s="21">
        <v>2023</v>
      </c>
      <c r="C402" t="s">
        <v>120</v>
      </c>
      <c r="D402">
        <v>2</v>
      </c>
    </row>
    <row r="403" spans="1:4">
      <c r="A403" s="21" t="s">
        <v>38</v>
      </c>
      <c r="B403" s="21">
        <v>2023</v>
      </c>
      <c r="C403" t="s">
        <v>119</v>
      </c>
      <c r="D403">
        <v>1</v>
      </c>
    </row>
    <row r="404" spans="1:4">
      <c r="A404" s="21" t="s">
        <v>30</v>
      </c>
      <c r="B404" s="21">
        <v>2020</v>
      </c>
      <c r="C404" t="s">
        <v>120</v>
      </c>
      <c r="D404">
        <v>1</v>
      </c>
    </row>
    <row r="405" spans="1:4">
      <c r="A405" s="21" t="s">
        <v>30</v>
      </c>
      <c r="B405" s="21">
        <v>2020</v>
      </c>
      <c r="C405" t="s">
        <v>119</v>
      </c>
      <c r="D405">
        <v>2</v>
      </c>
    </row>
    <row r="406" spans="1:4">
      <c r="A406" s="21" t="s">
        <v>30</v>
      </c>
      <c r="B406" s="21">
        <v>2021</v>
      </c>
      <c r="C406" t="s">
        <v>120</v>
      </c>
      <c r="D406">
        <v>2</v>
      </c>
    </row>
    <row r="407" spans="1:4">
      <c r="A407" s="21" t="s">
        <v>30</v>
      </c>
      <c r="B407" s="21">
        <v>2021</v>
      </c>
      <c r="C407" t="s">
        <v>119</v>
      </c>
      <c r="D407">
        <v>2</v>
      </c>
    </row>
    <row r="408" spans="1:4">
      <c r="A408" s="21" t="s">
        <v>30</v>
      </c>
      <c r="B408" s="21">
        <v>2022</v>
      </c>
      <c r="C408" t="s">
        <v>120</v>
      </c>
      <c r="D408">
        <v>8</v>
      </c>
    </row>
    <row r="409" spans="1:4">
      <c r="A409" s="21" t="s">
        <v>30</v>
      </c>
      <c r="B409" s="21">
        <v>2022</v>
      </c>
      <c r="C409" t="s">
        <v>119</v>
      </c>
      <c r="D409">
        <v>9</v>
      </c>
    </row>
    <row r="410" spans="1:4">
      <c r="A410" s="21" t="s">
        <v>30</v>
      </c>
      <c r="B410" s="21">
        <v>2023</v>
      </c>
      <c r="C410" t="s">
        <v>120</v>
      </c>
      <c r="D410">
        <v>27</v>
      </c>
    </row>
    <row r="411" spans="1:4">
      <c r="A411" s="21" t="s">
        <v>30</v>
      </c>
      <c r="B411" s="21">
        <v>2023</v>
      </c>
      <c r="C411" t="s">
        <v>119</v>
      </c>
      <c r="D411">
        <v>14</v>
      </c>
    </row>
    <row r="412" spans="1:4">
      <c r="A412" s="21" t="s">
        <v>30</v>
      </c>
      <c r="B412" s="21" t="s">
        <v>243</v>
      </c>
      <c r="C412" t="s">
        <v>120</v>
      </c>
      <c r="D412">
        <v>12</v>
      </c>
    </row>
    <row r="413" spans="1:4">
      <c r="A413" s="21" t="s">
        <v>30</v>
      </c>
      <c r="B413" s="21" t="s">
        <v>243</v>
      </c>
      <c r="C413" t="s">
        <v>119</v>
      </c>
      <c r="D413">
        <v>15</v>
      </c>
    </row>
    <row r="414" spans="1:4">
      <c r="A414" s="21" t="s">
        <v>30</v>
      </c>
      <c r="B414" s="21" t="s">
        <v>248</v>
      </c>
      <c r="C414" t="s">
        <v>120</v>
      </c>
      <c r="D414">
        <v>4</v>
      </c>
    </row>
    <row r="415" spans="1:4">
      <c r="A415" s="21" t="s">
        <v>30</v>
      </c>
      <c r="B415" s="21" t="s">
        <v>248</v>
      </c>
      <c r="C415" t="s">
        <v>119</v>
      </c>
      <c r="D415">
        <v>7</v>
      </c>
    </row>
    <row r="416" spans="1:4">
      <c r="A416" s="21" t="s">
        <v>50</v>
      </c>
      <c r="B416" s="21">
        <v>2020</v>
      </c>
      <c r="C416" t="s">
        <v>120</v>
      </c>
      <c r="D416">
        <v>1</v>
      </c>
    </row>
    <row r="417" spans="1:4">
      <c r="A417" s="21" t="s">
        <v>50</v>
      </c>
      <c r="B417" s="21">
        <v>2022</v>
      </c>
      <c r="C417" t="s">
        <v>119</v>
      </c>
      <c r="D417">
        <v>1</v>
      </c>
    </row>
    <row r="418" spans="1:4">
      <c r="A418" s="21" t="s">
        <v>50</v>
      </c>
      <c r="B418" s="21">
        <v>2023</v>
      </c>
      <c r="C418" t="s">
        <v>120</v>
      </c>
      <c r="D418">
        <v>3</v>
      </c>
    </row>
    <row r="419" spans="1:4">
      <c r="A419" s="21" t="s">
        <v>50</v>
      </c>
      <c r="B419" s="21">
        <v>2023</v>
      </c>
      <c r="C419" t="s">
        <v>119</v>
      </c>
      <c r="D419">
        <v>1</v>
      </c>
    </row>
    <row r="420" spans="1:4">
      <c r="A420" s="21" t="s">
        <v>31</v>
      </c>
      <c r="B420" s="21">
        <v>2020</v>
      </c>
      <c r="C420" t="s">
        <v>119</v>
      </c>
      <c r="D420">
        <v>1</v>
      </c>
    </row>
    <row r="421" spans="1:4">
      <c r="A421" s="21" t="s">
        <v>31</v>
      </c>
      <c r="B421" s="21">
        <v>2021</v>
      </c>
      <c r="C421" t="s">
        <v>120</v>
      </c>
      <c r="D421">
        <v>1</v>
      </c>
    </row>
    <row r="422" spans="1:4">
      <c r="A422" s="21" t="s">
        <v>31</v>
      </c>
      <c r="B422" s="21">
        <v>2022</v>
      </c>
      <c r="C422" t="s">
        <v>120</v>
      </c>
      <c r="D422">
        <v>1</v>
      </c>
    </row>
    <row r="423" spans="1:4">
      <c r="A423" s="21" t="s">
        <v>31</v>
      </c>
      <c r="B423" s="21">
        <v>2022</v>
      </c>
      <c r="C423" t="s">
        <v>119</v>
      </c>
      <c r="D423">
        <v>1</v>
      </c>
    </row>
    <row r="424" spans="1:4">
      <c r="A424" s="21" t="s">
        <v>31</v>
      </c>
      <c r="B424" s="21" t="s">
        <v>243</v>
      </c>
      <c r="C424" t="s">
        <v>120</v>
      </c>
      <c r="D424">
        <v>11</v>
      </c>
    </row>
    <row r="425" spans="1:4">
      <c r="A425" s="21" t="s">
        <v>31</v>
      </c>
      <c r="B425" s="21" t="s">
        <v>243</v>
      </c>
      <c r="C425" t="s">
        <v>119</v>
      </c>
      <c r="D425">
        <v>4</v>
      </c>
    </row>
    <row r="426" spans="1:4">
      <c r="A426" s="21" t="s">
        <v>31</v>
      </c>
      <c r="B426" s="21" t="s">
        <v>248</v>
      </c>
      <c r="C426" t="s">
        <v>120</v>
      </c>
      <c r="D426">
        <v>2</v>
      </c>
    </row>
    <row r="427" spans="1:4">
      <c r="A427" s="21" t="s">
        <v>31</v>
      </c>
      <c r="B427" s="21" t="s">
        <v>248</v>
      </c>
      <c r="C427" t="s">
        <v>119</v>
      </c>
      <c r="D427">
        <v>2</v>
      </c>
    </row>
    <row r="428" spans="1:4">
      <c r="A428" s="21" t="s">
        <v>22</v>
      </c>
      <c r="B428" s="21">
        <v>2020</v>
      </c>
      <c r="C428" t="s">
        <v>119</v>
      </c>
      <c r="D428">
        <v>3</v>
      </c>
    </row>
    <row r="429" spans="1:4">
      <c r="A429" s="21" t="s">
        <v>22</v>
      </c>
      <c r="B429" s="21">
        <v>2021</v>
      </c>
      <c r="C429" t="s">
        <v>119</v>
      </c>
      <c r="D429">
        <v>1</v>
      </c>
    </row>
    <row r="430" spans="1:4">
      <c r="A430" s="21" t="s">
        <v>22</v>
      </c>
      <c r="B430" s="21">
        <v>2022</v>
      </c>
      <c r="C430" t="s">
        <v>120</v>
      </c>
      <c r="D430">
        <v>7</v>
      </c>
    </row>
    <row r="431" spans="1:4">
      <c r="A431" s="21" t="s">
        <v>22</v>
      </c>
      <c r="B431" s="21">
        <v>2022</v>
      </c>
      <c r="C431" t="s">
        <v>119</v>
      </c>
      <c r="D431">
        <v>5</v>
      </c>
    </row>
    <row r="432" spans="1:4">
      <c r="A432" s="21" t="s">
        <v>22</v>
      </c>
      <c r="B432" s="21">
        <v>2023</v>
      </c>
      <c r="C432" t="s">
        <v>119</v>
      </c>
      <c r="D432">
        <v>2</v>
      </c>
    </row>
    <row r="433" spans="1:4">
      <c r="A433" s="21" t="s">
        <v>22</v>
      </c>
      <c r="B433" s="21" t="s">
        <v>243</v>
      </c>
      <c r="C433" t="s">
        <v>120</v>
      </c>
      <c r="D433">
        <v>1</v>
      </c>
    </row>
    <row r="434" spans="1:4">
      <c r="A434" s="21" t="s">
        <v>22</v>
      </c>
      <c r="B434" s="21" t="s">
        <v>243</v>
      </c>
      <c r="C434" t="s">
        <v>119</v>
      </c>
      <c r="D434">
        <v>4</v>
      </c>
    </row>
    <row r="435" spans="1:4">
      <c r="A435" s="21" t="s">
        <v>22</v>
      </c>
      <c r="B435" s="21" t="s">
        <v>248</v>
      </c>
      <c r="C435" t="s">
        <v>120</v>
      </c>
      <c r="D435">
        <v>6</v>
      </c>
    </row>
    <row r="436" spans="1:4">
      <c r="A436" s="21" t="s">
        <v>22</v>
      </c>
      <c r="B436" s="21" t="s">
        <v>248</v>
      </c>
      <c r="C436" t="s">
        <v>119</v>
      </c>
      <c r="D436">
        <v>3</v>
      </c>
    </row>
    <row r="437" spans="1:4">
      <c r="A437" s="21" t="s">
        <v>84</v>
      </c>
      <c r="B437" s="21">
        <v>2021</v>
      </c>
      <c r="C437" t="s">
        <v>120</v>
      </c>
      <c r="D437">
        <v>1</v>
      </c>
    </row>
    <row r="438" spans="1:4">
      <c r="A438" s="21" t="s">
        <v>84</v>
      </c>
      <c r="B438" s="21">
        <v>2023</v>
      </c>
      <c r="C438" t="s">
        <v>120</v>
      </c>
      <c r="D438">
        <v>2</v>
      </c>
    </row>
    <row r="439" spans="1:4">
      <c r="A439" s="21" t="s">
        <v>84</v>
      </c>
      <c r="B439" s="21">
        <v>2023</v>
      </c>
      <c r="C439" t="s">
        <v>119</v>
      </c>
      <c r="D439">
        <v>1</v>
      </c>
    </row>
    <row r="440" spans="1:4">
      <c r="A440" s="21" t="s">
        <v>84</v>
      </c>
      <c r="B440" s="21" t="s">
        <v>243</v>
      </c>
      <c r="C440" t="s">
        <v>119</v>
      </c>
      <c r="D440">
        <v>1</v>
      </c>
    </row>
    <row r="441" spans="1:4">
      <c r="A441" s="21" t="s">
        <v>84</v>
      </c>
      <c r="B441" s="21" t="s">
        <v>248</v>
      </c>
      <c r="C441" t="s">
        <v>120</v>
      </c>
      <c r="D441">
        <v>1</v>
      </c>
    </row>
    <row r="442" spans="1:4">
      <c r="A442" s="21" t="s">
        <v>76</v>
      </c>
      <c r="B442" s="21">
        <v>2020</v>
      </c>
      <c r="C442" t="s">
        <v>119</v>
      </c>
      <c r="D442">
        <v>1</v>
      </c>
    </row>
    <row r="443" spans="1:4">
      <c r="A443" s="21" t="s">
        <v>76</v>
      </c>
      <c r="B443" s="21">
        <v>2021</v>
      </c>
      <c r="C443" t="s">
        <v>119</v>
      </c>
      <c r="D443">
        <v>1</v>
      </c>
    </row>
    <row r="444" spans="1:4">
      <c r="A444" s="21" t="s">
        <v>76</v>
      </c>
      <c r="B444" s="21">
        <v>2022</v>
      </c>
      <c r="C444" t="s">
        <v>120</v>
      </c>
      <c r="D444">
        <v>1</v>
      </c>
    </row>
    <row r="445" spans="1:4">
      <c r="A445" s="21" t="s">
        <v>76</v>
      </c>
      <c r="B445" s="21">
        <v>2023</v>
      </c>
      <c r="C445" t="s">
        <v>120</v>
      </c>
      <c r="D445">
        <v>7</v>
      </c>
    </row>
    <row r="446" spans="1:4">
      <c r="A446" s="21" t="s">
        <v>76</v>
      </c>
      <c r="B446" s="21" t="s">
        <v>243</v>
      </c>
      <c r="C446" t="s">
        <v>120</v>
      </c>
      <c r="D446">
        <v>1</v>
      </c>
    </row>
    <row r="447" spans="1:4">
      <c r="A447" s="21" t="s">
        <v>76</v>
      </c>
      <c r="B447" s="21" t="s">
        <v>248</v>
      </c>
      <c r="C447" t="s">
        <v>120</v>
      </c>
      <c r="D447">
        <v>3</v>
      </c>
    </row>
    <row r="448" spans="1:4">
      <c r="A448" s="21" t="s">
        <v>76</v>
      </c>
      <c r="B448" s="21" t="s">
        <v>248</v>
      </c>
      <c r="C448" t="s">
        <v>119</v>
      </c>
      <c r="D448">
        <v>3</v>
      </c>
    </row>
    <row r="449" spans="1:4">
      <c r="A449" s="21" t="s">
        <v>20</v>
      </c>
      <c r="B449" s="21">
        <v>2020</v>
      </c>
      <c r="C449" t="s">
        <v>120</v>
      </c>
      <c r="D449">
        <v>2</v>
      </c>
    </row>
    <row r="450" spans="1:4">
      <c r="A450" s="21" t="s">
        <v>20</v>
      </c>
      <c r="B450" s="21">
        <v>2021</v>
      </c>
      <c r="C450" t="s">
        <v>120</v>
      </c>
      <c r="D450">
        <v>2</v>
      </c>
    </row>
    <row r="451" spans="1:4">
      <c r="A451" s="21" t="s">
        <v>20</v>
      </c>
      <c r="B451" s="21">
        <v>2022</v>
      </c>
      <c r="C451" t="s">
        <v>120</v>
      </c>
      <c r="D451">
        <v>2</v>
      </c>
    </row>
    <row r="452" spans="1:4">
      <c r="A452" s="21" t="s">
        <v>20</v>
      </c>
      <c r="B452" s="21">
        <v>2022</v>
      </c>
      <c r="C452" t="s">
        <v>119</v>
      </c>
      <c r="D452">
        <v>1</v>
      </c>
    </row>
    <row r="453" spans="1:4">
      <c r="A453" s="21" t="s">
        <v>20</v>
      </c>
      <c r="B453" s="21">
        <v>2023</v>
      </c>
      <c r="C453" t="s">
        <v>120</v>
      </c>
      <c r="D453">
        <v>1</v>
      </c>
    </row>
    <row r="454" spans="1:4">
      <c r="A454" s="21" t="s">
        <v>20</v>
      </c>
      <c r="B454" s="21" t="s">
        <v>243</v>
      </c>
      <c r="C454" t="s">
        <v>120</v>
      </c>
      <c r="D454">
        <v>3</v>
      </c>
    </row>
    <row r="455" spans="1:4">
      <c r="A455" s="21" t="s">
        <v>20</v>
      </c>
      <c r="B455" s="21" t="s">
        <v>243</v>
      </c>
      <c r="C455" t="s">
        <v>119</v>
      </c>
      <c r="D455">
        <v>1</v>
      </c>
    </row>
    <row r="456" spans="1:4">
      <c r="A456" s="21" t="s">
        <v>59</v>
      </c>
      <c r="B456" s="21">
        <v>2020</v>
      </c>
      <c r="C456" t="s">
        <v>119</v>
      </c>
      <c r="D456">
        <v>1</v>
      </c>
    </row>
    <row r="457" spans="1:4">
      <c r="A457" s="21" t="s">
        <v>59</v>
      </c>
      <c r="B457" s="21">
        <v>2021</v>
      </c>
      <c r="C457" t="s">
        <v>120</v>
      </c>
      <c r="D457">
        <v>6</v>
      </c>
    </row>
    <row r="458" spans="1:4">
      <c r="A458" s="21" t="s">
        <v>59</v>
      </c>
      <c r="B458" s="21">
        <v>2021</v>
      </c>
      <c r="C458" t="s">
        <v>119</v>
      </c>
      <c r="D458">
        <v>2</v>
      </c>
    </row>
    <row r="459" spans="1:4">
      <c r="A459" s="21" t="s">
        <v>59</v>
      </c>
      <c r="B459" s="21">
        <v>2022</v>
      </c>
      <c r="C459" t="s">
        <v>120</v>
      </c>
      <c r="D459">
        <v>5</v>
      </c>
    </row>
    <row r="460" spans="1:4">
      <c r="A460" s="21" t="s">
        <v>59</v>
      </c>
      <c r="B460" s="21">
        <v>2022</v>
      </c>
      <c r="C460" t="s">
        <v>119</v>
      </c>
      <c r="D460">
        <v>8</v>
      </c>
    </row>
    <row r="461" spans="1:4">
      <c r="A461" s="21" t="s">
        <v>59</v>
      </c>
      <c r="B461" s="21">
        <v>2023</v>
      </c>
      <c r="C461" t="s">
        <v>120</v>
      </c>
      <c r="D461">
        <v>5</v>
      </c>
    </row>
    <row r="462" spans="1:4">
      <c r="A462" s="21" t="s">
        <v>59</v>
      </c>
      <c r="B462" s="21">
        <v>2023</v>
      </c>
      <c r="C462" t="s">
        <v>119</v>
      </c>
      <c r="D462">
        <v>6</v>
      </c>
    </row>
    <row r="463" spans="1:4">
      <c r="A463" s="21" t="s">
        <v>59</v>
      </c>
      <c r="B463" s="21" t="s">
        <v>243</v>
      </c>
      <c r="C463" t="s">
        <v>120</v>
      </c>
      <c r="D463">
        <v>14</v>
      </c>
    </row>
    <row r="464" spans="1:4">
      <c r="A464" s="21" t="s">
        <v>59</v>
      </c>
      <c r="B464" s="21" t="s">
        <v>243</v>
      </c>
      <c r="C464" t="s">
        <v>119</v>
      </c>
      <c r="D464">
        <v>5</v>
      </c>
    </row>
    <row r="465" spans="1:4">
      <c r="A465" s="21" t="s">
        <v>59</v>
      </c>
      <c r="B465" s="21" t="s">
        <v>248</v>
      </c>
      <c r="C465" t="s">
        <v>120</v>
      </c>
      <c r="D465">
        <v>1</v>
      </c>
    </row>
    <row r="466" spans="1:4">
      <c r="A466" s="21" t="s">
        <v>59</v>
      </c>
      <c r="B466" s="21" t="s">
        <v>248</v>
      </c>
      <c r="C466" t="s">
        <v>119</v>
      </c>
      <c r="D466">
        <v>3</v>
      </c>
    </row>
    <row r="467" spans="1:4">
      <c r="A467" s="21" t="s">
        <v>105</v>
      </c>
      <c r="B467" s="21">
        <v>2022</v>
      </c>
      <c r="C467" t="s">
        <v>120</v>
      </c>
      <c r="D467">
        <v>2</v>
      </c>
    </row>
    <row r="468" spans="1:4">
      <c r="A468" s="21" t="s">
        <v>105</v>
      </c>
      <c r="B468" s="21">
        <v>2023</v>
      </c>
      <c r="C468" t="s">
        <v>120</v>
      </c>
      <c r="D468">
        <v>3</v>
      </c>
    </row>
    <row r="469" spans="1:4">
      <c r="A469" s="21" t="s">
        <v>105</v>
      </c>
      <c r="B469" s="21">
        <v>2023</v>
      </c>
      <c r="C469" t="s">
        <v>119</v>
      </c>
      <c r="D469">
        <v>3</v>
      </c>
    </row>
    <row r="470" spans="1:4">
      <c r="A470" s="21" t="s">
        <v>105</v>
      </c>
      <c r="B470" s="21" t="s">
        <v>243</v>
      </c>
      <c r="C470" t="s">
        <v>119</v>
      </c>
      <c r="D470">
        <v>2</v>
      </c>
    </row>
    <row r="471" spans="1:4">
      <c r="A471" s="21" t="s">
        <v>27</v>
      </c>
      <c r="B471" s="21">
        <v>2020</v>
      </c>
      <c r="C471" t="s">
        <v>120</v>
      </c>
      <c r="D471">
        <v>3</v>
      </c>
    </row>
    <row r="472" spans="1:4">
      <c r="A472" s="21" t="s">
        <v>27</v>
      </c>
      <c r="B472" s="21">
        <v>2020</v>
      </c>
      <c r="C472" t="s">
        <v>119</v>
      </c>
      <c r="D472">
        <v>2</v>
      </c>
    </row>
    <row r="473" spans="1:4">
      <c r="A473" s="21" t="s">
        <v>27</v>
      </c>
      <c r="B473" s="21">
        <v>2021</v>
      </c>
      <c r="C473" t="s">
        <v>120</v>
      </c>
      <c r="D473">
        <v>4</v>
      </c>
    </row>
    <row r="474" spans="1:4">
      <c r="A474" s="21" t="s">
        <v>27</v>
      </c>
      <c r="B474" s="21">
        <v>2021</v>
      </c>
      <c r="C474" t="s">
        <v>119</v>
      </c>
      <c r="D474">
        <v>1</v>
      </c>
    </row>
    <row r="475" spans="1:4">
      <c r="A475" s="21" t="s">
        <v>27</v>
      </c>
      <c r="B475" s="21">
        <v>2022</v>
      </c>
      <c r="C475" t="s">
        <v>120</v>
      </c>
      <c r="D475">
        <v>1</v>
      </c>
    </row>
    <row r="476" spans="1:4">
      <c r="A476" s="21" t="s">
        <v>27</v>
      </c>
      <c r="B476" s="21">
        <v>2022</v>
      </c>
      <c r="C476" t="s">
        <v>119</v>
      </c>
      <c r="D476">
        <v>2</v>
      </c>
    </row>
    <row r="477" spans="1:4">
      <c r="A477" s="21" t="s">
        <v>27</v>
      </c>
      <c r="B477" s="21">
        <v>2023</v>
      </c>
      <c r="C477" t="s">
        <v>120</v>
      </c>
      <c r="D477">
        <v>1</v>
      </c>
    </row>
    <row r="478" spans="1:4">
      <c r="A478" s="21" t="s">
        <v>27</v>
      </c>
      <c r="B478" s="21">
        <v>2023</v>
      </c>
      <c r="C478" t="s">
        <v>119</v>
      </c>
      <c r="D478">
        <v>3</v>
      </c>
    </row>
    <row r="479" spans="1:4">
      <c r="A479" s="21" t="s">
        <v>14</v>
      </c>
      <c r="B479" s="21">
        <v>2020</v>
      </c>
      <c r="C479" t="s">
        <v>120</v>
      </c>
      <c r="D479">
        <v>3</v>
      </c>
    </row>
    <row r="480" spans="1:4">
      <c r="A480" s="21" t="s">
        <v>14</v>
      </c>
      <c r="B480" s="21">
        <v>2020</v>
      </c>
      <c r="C480" t="s">
        <v>119</v>
      </c>
      <c r="D480">
        <v>2</v>
      </c>
    </row>
    <row r="481" spans="1:4">
      <c r="A481" s="21" t="s">
        <v>14</v>
      </c>
      <c r="B481" s="21">
        <v>2022</v>
      </c>
      <c r="C481" t="s">
        <v>119</v>
      </c>
      <c r="D481">
        <v>1</v>
      </c>
    </row>
    <row r="482" spans="1:4">
      <c r="A482" s="21" t="s">
        <v>14</v>
      </c>
      <c r="B482" s="21">
        <v>2023</v>
      </c>
      <c r="C482" t="s">
        <v>120</v>
      </c>
      <c r="D482">
        <v>1</v>
      </c>
    </row>
    <row r="483" spans="1:4">
      <c r="A483" s="21" t="s">
        <v>41</v>
      </c>
      <c r="B483" s="21">
        <v>2020</v>
      </c>
      <c r="C483" t="s">
        <v>120</v>
      </c>
      <c r="D483">
        <v>1</v>
      </c>
    </row>
    <row r="484" spans="1:4">
      <c r="A484" s="21" t="s">
        <v>41</v>
      </c>
      <c r="B484" s="21">
        <v>2020</v>
      </c>
      <c r="C484" t="s">
        <v>119</v>
      </c>
      <c r="D484">
        <v>1</v>
      </c>
    </row>
    <row r="485" spans="1:4">
      <c r="A485" s="21" t="s">
        <v>41</v>
      </c>
      <c r="B485" s="21">
        <v>2022</v>
      </c>
      <c r="C485" t="s">
        <v>119</v>
      </c>
      <c r="D485">
        <v>3</v>
      </c>
    </row>
    <row r="486" spans="1:4">
      <c r="A486" s="21" t="s">
        <v>41</v>
      </c>
      <c r="B486" s="21" t="s">
        <v>243</v>
      </c>
      <c r="C486" t="s">
        <v>120</v>
      </c>
      <c r="D486">
        <v>1</v>
      </c>
    </row>
    <row r="487" spans="1:4">
      <c r="A487" s="21" t="s">
        <v>41</v>
      </c>
      <c r="B487" s="21" t="s">
        <v>243</v>
      </c>
      <c r="C487" t="s">
        <v>119</v>
      </c>
      <c r="D487">
        <v>1</v>
      </c>
    </row>
    <row r="488" spans="1:4">
      <c r="A488" s="21" t="s">
        <v>56</v>
      </c>
      <c r="B488" s="21">
        <v>2020</v>
      </c>
      <c r="C488" t="s">
        <v>120</v>
      </c>
      <c r="D488">
        <v>1</v>
      </c>
    </row>
    <row r="489" spans="1:4">
      <c r="A489" s="21" t="s">
        <v>56</v>
      </c>
      <c r="B489" s="21">
        <v>2020</v>
      </c>
      <c r="C489" t="s">
        <v>119</v>
      </c>
      <c r="D489">
        <v>1</v>
      </c>
    </row>
    <row r="490" spans="1:4">
      <c r="A490" s="21" t="s">
        <v>56</v>
      </c>
      <c r="B490" s="21">
        <v>2021</v>
      </c>
      <c r="C490" t="s">
        <v>120</v>
      </c>
      <c r="D490">
        <v>2</v>
      </c>
    </row>
    <row r="491" spans="1:4">
      <c r="A491" s="21" t="s">
        <v>56</v>
      </c>
      <c r="B491" s="21">
        <v>2021</v>
      </c>
      <c r="C491" t="s">
        <v>119</v>
      </c>
      <c r="D491">
        <v>2</v>
      </c>
    </row>
    <row r="492" spans="1:4">
      <c r="A492" s="21" t="s">
        <v>56</v>
      </c>
      <c r="B492" s="21">
        <v>2022</v>
      </c>
      <c r="C492" t="s">
        <v>120</v>
      </c>
      <c r="D492">
        <v>1</v>
      </c>
    </row>
    <row r="493" spans="1:4">
      <c r="A493" s="21" t="s">
        <v>56</v>
      </c>
      <c r="B493" s="21">
        <v>2022</v>
      </c>
      <c r="C493" t="s">
        <v>119</v>
      </c>
      <c r="D493">
        <v>1</v>
      </c>
    </row>
    <row r="494" spans="1:4">
      <c r="A494" s="21" t="s">
        <v>56</v>
      </c>
      <c r="B494" s="21">
        <v>2023</v>
      </c>
      <c r="C494" t="s">
        <v>120</v>
      </c>
      <c r="D494">
        <v>4</v>
      </c>
    </row>
    <row r="495" spans="1:4">
      <c r="A495" s="21" t="s">
        <v>56</v>
      </c>
      <c r="B495" s="21">
        <v>2023</v>
      </c>
      <c r="C495" t="s">
        <v>119</v>
      </c>
      <c r="D495">
        <v>5</v>
      </c>
    </row>
    <row r="496" spans="1:4">
      <c r="A496" s="21" t="s">
        <v>56</v>
      </c>
      <c r="B496" s="21" t="s">
        <v>243</v>
      </c>
      <c r="C496" t="s">
        <v>120</v>
      </c>
      <c r="D496">
        <v>1</v>
      </c>
    </row>
    <row r="497" spans="1:4">
      <c r="A497" s="21" t="s">
        <v>56</v>
      </c>
      <c r="B497" s="21" t="s">
        <v>243</v>
      </c>
      <c r="C497" t="s">
        <v>119</v>
      </c>
      <c r="D497">
        <v>1</v>
      </c>
    </row>
    <row r="498" spans="1:4">
      <c r="A498" s="21" t="s">
        <v>56</v>
      </c>
      <c r="B498" s="21" t="s">
        <v>248</v>
      </c>
      <c r="C498" t="s">
        <v>120</v>
      </c>
      <c r="D498">
        <v>1</v>
      </c>
    </row>
    <row r="499" spans="1:4">
      <c r="A499" s="21" t="s">
        <v>85</v>
      </c>
      <c r="B499" s="21">
        <v>2022</v>
      </c>
      <c r="C499" t="s">
        <v>120</v>
      </c>
      <c r="D499">
        <v>4</v>
      </c>
    </row>
    <row r="500" spans="1:4">
      <c r="A500" s="21" t="s">
        <v>85</v>
      </c>
      <c r="B500" s="21">
        <v>2022</v>
      </c>
      <c r="C500" t="s">
        <v>119</v>
      </c>
      <c r="D500">
        <v>4</v>
      </c>
    </row>
    <row r="501" spans="1:4">
      <c r="A501" s="21" t="s">
        <v>85</v>
      </c>
      <c r="B501" s="21">
        <v>2023</v>
      </c>
      <c r="C501" t="s">
        <v>120</v>
      </c>
      <c r="D501">
        <v>3</v>
      </c>
    </row>
    <row r="502" spans="1:4">
      <c r="A502" s="21" t="s">
        <v>85</v>
      </c>
      <c r="B502" s="21">
        <v>2023</v>
      </c>
      <c r="C502" t="s">
        <v>119</v>
      </c>
      <c r="D502">
        <v>1</v>
      </c>
    </row>
    <row r="503" spans="1:4">
      <c r="A503" s="21" t="s">
        <v>85</v>
      </c>
      <c r="B503" s="21" t="s">
        <v>243</v>
      </c>
      <c r="C503" t="s">
        <v>120</v>
      </c>
      <c r="D503">
        <v>1</v>
      </c>
    </row>
    <row r="504" spans="1:4">
      <c r="A504" s="21" t="s">
        <v>85</v>
      </c>
      <c r="B504" s="21" t="s">
        <v>248</v>
      </c>
      <c r="C504" t="s">
        <v>119</v>
      </c>
      <c r="D504">
        <v>1</v>
      </c>
    </row>
    <row r="505" spans="1:4">
      <c r="A505" s="21" t="s">
        <v>24</v>
      </c>
      <c r="B505" s="21">
        <v>2020</v>
      </c>
      <c r="C505" t="s">
        <v>120</v>
      </c>
      <c r="D505">
        <v>2</v>
      </c>
    </row>
    <row r="506" spans="1:4">
      <c r="A506" s="21" t="s">
        <v>24</v>
      </c>
      <c r="B506" s="21">
        <v>2020</v>
      </c>
      <c r="C506" t="s">
        <v>119</v>
      </c>
      <c r="D506">
        <v>1</v>
      </c>
    </row>
    <row r="507" spans="1:4">
      <c r="A507" s="21" t="s">
        <v>24</v>
      </c>
      <c r="B507" s="21">
        <v>2022</v>
      </c>
      <c r="C507" t="s">
        <v>120</v>
      </c>
      <c r="D507">
        <v>4</v>
      </c>
    </row>
    <row r="508" spans="1:4">
      <c r="A508" s="21" t="s">
        <v>24</v>
      </c>
      <c r="B508" s="21">
        <v>2022</v>
      </c>
      <c r="C508" t="s">
        <v>119</v>
      </c>
      <c r="D508">
        <v>3</v>
      </c>
    </row>
    <row r="509" spans="1:4">
      <c r="A509" s="21" t="s">
        <v>24</v>
      </c>
      <c r="B509" s="21">
        <v>2023</v>
      </c>
      <c r="C509" t="s">
        <v>119</v>
      </c>
      <c r="D509">
        <v>1</v>
      </c>
    </row>
    <row r="510" spans="1:4">
      <c r="A510" s="21" t="s">
        <v>24</v>
      </c>
      <c r="B510" s="21" t="s">
        <v>243</v>
      </c>
      <c r="C510" t="s">
        <v>119</v>
      </c>
      <c r="D510">
        <v>1</v>
      </c>
    </row>
    <row r="511" spans="1:4">
      <c r="A511" s="21" t="s">
        <v>24</v>
      </c>
      <c r="B511" s="21" t="s">
        <v>248</v>
      </c>
      <c r="C511" t="s">
        <v>120</v>
      </c>
      <c r="D511">
        <v>1</v>
      </c>
    </row>
    <row r="512" spans="1:4">
      <c r="A512" s="21" t="s">
        <v>24</v>
      </c>
      <c r="B512" s="21" t="s">
        <v>248</v>
      </c>
      <c r="C512" t="s">
        <v>119</v>
      </c>
      <c r="D512">
        <v>1</v>
      </c>
    </row>
    <row r="513" spans="1:4">
      <c r="A513" s="21" t="s">
        <v>28</v>
      </c>
      <c r="B513" s="21">
        <v>2020</v>
      </c>
      <c r="C513" t="s">
        <v>120</v>
      </c>
      <c r="D513">
        <v>2</v>
      </c>
    </row>
    <row r="514" spans="1:4">
      <c r="A514" s="21" t="s">
        <v>28</v>
      </c>
      <c r="B514" s="21">
        <v>2020</v>
      </c>
      <c r="C514" t="s">
        <v>119</v>
      </c>
      <c r="D514">
        <v>1</v>
      </c>
    </row>
    <row r="515" spans="1:4">
      <c r="A515" s="21" t="s">
        <v>28</v>
      </c>
      <c r="B515" s="21">
        <v>2021</v>
      </c>
      <c r="C515" t="s">
        <v>119</v>
      </c>
      <c r="D515">
        <v>2</v>
      </c>
    </row>
    <row r="516" spans="1:4">
      <c r="A516" s="21" t="s">
        <v>28</v>
      </c>
      <c r="B516" s="21">
        <v>2022</v>
      </c>
      <c r="C516" t="s">
        <v>120</v>
      </c>
      <c r="D516">
        <v>4</v>
      </c>
    </row>
    <row r="517" spans="1:4">
      <c r="A517" s="21" t="s">
        <v>28</v>
      </c>
      <c r="B517" s="21">
        <v>2022</v>
      </c>
      <c r="C517" t="s">
        <v>119</v>
      </c>
      <c r="D517">
        <v>4</v>
      </c>
    </row>
    <row r="518" spans="1:4">
      <c r="A518" s="21" t="s">
        <v>28</v>
      </c>
      <c r="B518" s="21">
        <v>2023</v>
      </c>
      <c r="C518" t="s">
        <v>120</v>
      </c>
      <c r="D518">
        <v>3</v>
      </c>
    </row>
    <row r="519" spans="1:4">
      <c r="A519" s="21" t="s">
        <v>28</v>
      </c>
      <c r="B519" s="21">
        <v>2023</v>
      </c>
      <c r="C519" t="s">
        <v>119</v>
      </c>
      <c r="D519">
        <v>1</v>
      </c>
    </row>
    <row r="520" spans="1:4">
      <c r="A520" s="21" t="s">
        <v>28</v>
      </c>
      <c r="B520" s="21" t="s">
        <v>243</v>
      </c>
      <c r="C520" t="s">
        <v>120</v>
      </c>
      <c r="D520">
        <v>2</v>
      </c>
    </row>
    <row r="521" spans="1:4">
      <c r="A521" s="21" t="s">
        <v>28</v>
      </c>
      <c r="B521" s="21" t="s">
        <v>243</v>
      </c>
      <c r="C521" t="s">
        <v>119</v>
      </c>
      <c r="D521">
        <v>2</v>
      </c>
    </row>
    <row r="522" spans="1:4">
      <c r="A522" s="21" t="s">
        <v>28</v>
      </c>
      <c r="B522" s="21" t="s">
        <v>248</v>
      </c>
      <c r="C522" t="s">
        <v>120</v>
      </c>
      <c r="D522">
        <v>1</v>
      </c>
    </row>
    <row r="523" spans="1:4">
      <c r="A523" s="21" t="s">
        <v>28</v>
      </c>
      <c r="B523" s="21" t="s">
        <v>248</v>
      </c>
      <c r="C523" t="s">
        <v>119</v>
      </c>
      <c r="D523">
        <v>2</v>
      </c>
    </row>
    <row r="524" spans="1:4">
      <c r="A524" s="21" t="s">
        <v>32</v>
      </c>
      <c r="B524" s="21">
        <v>2020</v>
      </c>
      <c r="C524" t="s">
        <v>120</v>
      </c>
      <c r="D524">
        <v>1</v>
      </c>
    </row>
    <row r="525" spans="1:4">
      <c r="A525" s="21" t="s">
        <v>32</v>
      </c>
      <c r="B525" s="21">
        <v>2020</v>
      </c>
      <c r="C525" t="s">
        <v>119</v>
      </c>
      <c r="D525">
        <v>1</v>
      </c>
    </row>
    <row r="526" spans="1:4">
      <c r="A526" s="21" t="s">
        <v>32</v>
      </c>
      <c r="B526" s="21">
        <v>2022</v>
      </c>
      <c r="C526" t="s">
        <v>119</v>
      </c>
      <c r="D526">
        <v>1</v>
      </c>
    </row>
    <row r="527" spans="1:4">
      <c r="A527" s="21" t="s">
        <v>32</v>
      </c>
      <c r="B527" s="21" t="s">
        <v>243</v>
      </c>
      <c r="C527" t="s">
        <v>119</v>
      </c>
      <c r="D527">
        <v>1</v>
      </c>
    </row>
    <row r="528" spans="1:4">
      <c r="A528" s="21" t="s">
        <v>32</v>
      </c>
      <c r="B528" s="21" t="s">
        <v>248</v>
      </c>
      <c r="C528" t="s">
        <v>119</v>
      </c>
      <c r="D528">
        <v>1</v>
      </c>
    </row>
    <row r="529" spans="1:4">
      <c r="A529" s="21" t="s">
        <v>102</v>
      </c>
      <c r="B529" s="21">
        <v>2023</v>
      </c>
      <c r="C529" t="s">
        <v>120</v>
      </c>
      <c r="D529">
        <v>1</v>
      </c>
    </row>
    <row r="530" spans="1:4">
      <c r="A530" s="21" t="s">
        <v>35</v>
      </c>
      <c r="B530" s="21">
        <v>2020</v>
      </c>
      <c r="C530" t="s">
        <v>120</v>
      </c>
      <c r="D530">
        <v>4</v>
      </c>
    </row>
    <row r="531" spans="1:4">
      <c r="A531" s="21" t="s">
        <v>35</v>
      </c>
      <c r="B531" s="21">
        <v>2022</v>
      </c>
      <c r="C531" t="s">
        <v>120</v>
      </c>
      <c r="D531">
        <v>1</v>
      </c>
    </row>
    <row r="532" spans="1:4">
      <c r="A532" s="21" t="s">
        <v>35</v>
      </c>
      <c r="B532" s="21">
        <v>2022</v>
      </c>
      <c r="C532" t="s">
        <v>119</v>
      </c>
      <c r="D532">
        <v>1</v>
      </c>
    </row>
    <row r="533" spans="1:4">
      <c r="A533" s="21" t="s">
        <v>35</v>
      </c>
      <c r="B533" s="21">
        <v>2023</v>
      </c>
      <c r="C533" t="s">
        <v>120</v>
      </c>
      <c r="D533">
        <v>6</v>
      </c>
    </row>
    <row r="534" spans="1:4">
      <c r="A534" s="21" t="s">
        <v>35</v>
      </c>
      <c r="B534" s="21">
        <v>2023</v>
      </c>
      <c r="C534" t="s">
        <v>119</v>
      </c>
      <c r="D534">
        <v>4</v>
      </c>
    </row>
    <row r="535" spans="1:4">
      <c r="A535" s="21" t="s">
        <v>35</v>
      </c>
      <c r="B535" s="21" t="s">
        <v>248</v>
      </c>
      <c r="C535" t="s">
        <v>119</v>
      </c>
      <c r="D535">
        <v>1</v>
      </c>
    </row>
    <row r="536" spans="1:4">
      <c r="A536" s="21" t="s">
        <v>46</v>
      </c>
      <c r="B536" s="21">
        <v>2020</v>
      </c>
      <c r="C536" t="s">
        <v>120</v>
      </c>
      <c r="D536">
        <v>1</v>
      </c>
    </row>
    <row r="537" spans="1:4">
      <c r="A537" s="21" t="s">
        <v>46</v>
      </c>
      <c r="B537" s="21">
        <v>2021</v>
      </c>
      <c r="C537" t="s">
        <v>119</v>
      </c>
      <c r="D537">
        <v>2</v>
      </c>
    </row>
    <row r="538" spans="1:4">
      <c r="A538" s="21" t="s">
        <v>46</v>
      </c>
      <c r="B538" s="21">
        <v>2023</v>
      </c>
      <c r="C538" t="s">
        <v>120</v>
      </c>
      <c r="D538">
        <v>1</v>
      </c>
    </row>
    <row r="539" spans="1:4">
      <c r="A539" s="21" t="s">
        <v>46</v>
      </c>
      <c r="B539" s="21">
        <v>2023</v>
      </c>
      <c r="C539" t="s">
        <v>119</v>
      </c>
      <c r="D539">
        <v>1</v>
      </c>
    </row>
    <row r="540" spans="1:4">
      <c r="A540" s="21" t="s">
        <v>61</v>
      </c>
      <c r="B540" s="21">
        <v>2020</v>
      </c>
      <c r="C540" t="s">
        <v>120</v>
      </c>
      <c r="D540">
        <v>2</v>
      </c>
    </row>
    <row r="541" spans="1:4">
      <c r="A541" s="21" t="s">
        <v>61</v>
      </c>
      <c r="B541" s="21">
        <v>2020</v>
      </c>
      <c r="C541" t="s">
        <v>119</v>
      </c>
      <c r="D541">
        <v>2</v>
      </c>
    </row>
    <row r="542" spans="1:4">
      <c r="A542" s="21" t="s">
        <v>61</v>
      </c>
      <c r="B542" s="21">
        <v>2021</v>
      </c>
      <c r="C542" t="s">
        <v>119</v>
      </c>
      <c r="D542">
        <v>1</v>
      </c>
    </row>
    <row r="543" spans="1:4">
      <c r="A543" s="21" t="s">
        <v>61</v>
      </c>
      <c r="B543" s="21">
        <v>2022</v>
      </c>
      <c r="C543" t="s">
        <v>120</v>
      </c>
      <c r="D543">
        <v>6</v>
      </c>
    </row>
    <row r="544" spans="1:4">
      <c r="A544" s="21" t="s">
        <v>61</v>
      </c>
      <c r="B544" s="21">
        <v>2022</v>
      </c>
      <c r="C544" t="s">
        <v>119</v>
      </c>
      <c r="D544">
        <v>2</v>
      </c>
    </row>
    <row r="545" spans="1:4">
      <c r="A545" s="21" t="s">
        <v>61</v>
      </c>
      <c r="B545" s="21">
        <v>2023</v>
      </c>
      <c r="C545" t="s">
        <v>120</v>
      </c>
      <c r="D545">
        <v>1</v>
      </c>
    </row>
    <row r="546" spans="1:4">
      <c r="A546" s="21" t="s">
        <v>61</v>
      </c>
      <c r="B546" s="21">
        <v>2023</v>
      </c>
      <c r="C546" t="s">
        <v>119</v>
      </c>
      <c r="D546">
        <v>4</v>
      </c>
    </row>
    <row r="547" spans="1:4">
      <c r="A547" s="21" t="s">
        <v>61</v>
      </c>
      <c r="B547" s="21" t="s">
        <v>243</v>
      </c>
      <c r="C547" t="s">
        <v>120</v>
      </c>
      <c r="D547">
        <v>2</v>
      </c>
    </row>
    <row r="548" spans="1:4">
      <c r="A548" s="21" t="s">
        <v>61</v>
      </c>
      <c r="B548" s="21" t="s">
        <v>243</v>
      </c>
      <c r="C548" t="s">
        <v>119</v>
      </c>
      <c r="D548">
        <v>2</v>
      </c>
    </row>
    <row r="549" spans="1:4">
      <c r="A549" s="21" t="s">
        <v>61</v>
      </c>
      <c r="B549" s="21" t="s">
        <v>248</v>
      </c>
      <c r="C549" t="s">
        <v>120</v>
      </c>
      <c r="D549">
        <v>4</v>
      </c>
    </row>
    <row r="550" spans="1:4">
      <c r="A550" s="21" t="s">
        <v>61</v>
      </c>
      <c r="B550" s="21" t="s">
        <v>248</v>
      </c>
      <c r="C550" t="s">
        <v>119</v>
      </c>
      <c r="D550">
        <v>1</v>
      </c>
    </row>
    <row r="551" spans="1:4">
      <c r="A551" s="21" t="s">
        <v>23</v>
      </c>
      <c r="B551" s="21">
        <v>2020</v>
      </c>
      <c r="C551" t="s">
        <v>120</v>
      </c>
      <c r="D551">
        <v>4</v>
      </c>
    </row>
    <row r="552" spans="1:4">
      <c r="A552" s="21" t="s">
        <v>23</v>
      </c>
      <c r="B552" s="21">
        <v>2020</v>
      </c>
      <c r="C552" t="s">
        <v>119</v>
      </c>
      <c r="D552">
        <v>2</v>
      </c>
    </row>
    <row r="553" spans="1:4">
      <c r="A553" s="21" t="s">
        <v>23</v>
      </c>
      <c r="B553" s="21">
        <v>2021</v>
      </c>
      <c r="C553" t="s">
        <v>119</v>
      </c>
      <c r="D553">
        <v>1</v>
      </c>
    </row>
    <row r="554" spans="1:4">
      <c r="A554" s="21" t="s">
        <v>23</v>
      </c>
      <c r="B554" s="21">
        <v>2022</v>
      </c>
      <c r="C554" t="s">
        <v>120</v>
      </c>
      <c r="D554">
        <v>2</v>
      </c>
    </row>
    <row r="555" spans="1:4">
      <c r="A555" s="21" t="s">
        <v>23</v>
      </c>
      <c r="B555" s="21">
        <v>2022</v>
      </c>
      <c r="C555" t="s">
        <v>119</v>
      </c>
      <c r="D555">
        <v>1</v>
      </c>
    </row>
    <row r="556" spans="1:4">
      <c r="A556" s="21" t="s">
        <v>23</v>
      </c>
      <c r="B556" s="21">
        <v>2023</v>
      </c>
      <c r="C556" t="s">
        <v>120</v>
      </c>
      <c r="D556">
        <v>3</v>
      </c>
    </row>
    <row r="557" spans="1:4">
      <c r="A557" s="21" t="s">
        <v>23</v>
      </c>
      <c r="B557" s="21" t="s">
        <v>243</v>
      </c>
      <c r="C557" t="s">
        <v>120</v>
      </c>
      <c r="D557">
        <v>1</v>
      </c>
    </row>
    <row r="558" spans="1:4">
      <c r="A558" s="21" t="s">
        <v>23</v>
      </c>
      <c r="B558" s="21" t="s">
        <v>248</v>
      </c>
      <c r="C558" t="s">
        <v>120</v>
      </c>
      <c r="D558">
        <v>17</v>
      </c>
    </row>
    <row r="559" spans="1:4">
      <c r="A559" s="21" t="s">
        <v>23</v>
      </c>
      <c r="B559" s="21" t="s">
        <v>248</v>
      </c>
      <c r="C559" t="s">
        <v>119</v>
      </c>
      <c r="D559">
        <v>10</v>
      </c>
    </row>
    <row r="560" spans="1:4">
      <c r="A560" s="21" t="s">
        <v>11</v>
      </c>
      <c r="B560" s="21">
        <v>2020</v>
      </c>
      <c r="C560" t="s">
        <v>120</v>
      </c>
      <c r="D560">
        <v>8</v>
      </c>
    </row>
    <row r="561" spans="1:4">
      <c r="A561" s="21" t="s">
        <v>11</v>
      </c>
      <c r="B561" s="21">
        <v>2020</v>
      </c>
      <c r="C561" t="s">
        <v>119</v>
      </c>
      <c r="D561">
        <v>5</v>
      </c>
    </row>
    <row r="562" spans="1:4">
      <c r="A562" s="21" t="s">
        <v>11</v>
      </c>
      <c r="B562" s="21">
        <v>2022</v>
      </c>
      <c r="C562" t="s">
        <v>120</v>
      </c>
      <c r="D562">
        <v>13</v>
      </c>
    </row>
    <row r="563" spans="1:4">
      <c r="A563" s="21" t="s">
        <v>11</v>
      </c>
      <c r="B563" s="21">
        <v>2022</v>
      </c>
      <c r="C563" t="s">
        <v>119</v>
      </c>
      <c r="D563">
        <v>17</v>
      </c>
    </row>
    <row r="564" spans="1:4">
      <c r="A564" s="21" t="s">
        <v>11</v>
      </c>
      <c r="B564" s="21">
        <v>2023</v>
      </c>
      <c r="C564" t="s">
        <v>120</v>
      </c>
      <c r="D564">
        <v>5</v>
      </c>
    </row>
    <row r="565" spans="1:4">
      <c r="A565" s="21" t="s">
        <v>11</v>
      </c>
      <c r="B565" s="21">
        <v>2023</v>
      </c>
      <c r="C565" t="s">
        <v>119</v>
      </c>
      <c r="D565">
        <v>4</v>
      </c>
    </row>
    <row r="566" spans="1:4">
      <c r="A566" s="21" t="s">
        <v>11</v>
      </c>
      <c r="B566" s="21" t="s">
        <v>243</v>
      </c>
      <c r="C566" t="s">
        <v>120</v>
      </c>
      <c r="D566">
        <v>6</v>
      </c>
    </row>
    <row r="567" spans="1:4">
      <c r="A567" s="21" t="s">
        <v>11</v>
      </c>
      <c r="B567" s="21" t="s">
        <v>243</v>
      </c>
      <c r="C567" t="s">
        <v>119</v>
      </c>
      <c r="D567">
        <v>2</v>
      </c>
    </row>
    <row r="568" spans="1:4">
      <c r="A568" s="21" t="s">
        <v>16</v>
      </c>
      <c r="B568" s="21">
        <v>2020</v>
      </c>
      <c r="C568" t="s">
        <v>120</v>
      </c>
      <c r="D568">
        <v>25</v>
      </c>
    </row>
    <row r="569" spans="1:4">
      <c r="A569" s="21" t="s">
        <v>16</v>
      </c>
      <c r="B569" s="21">
        <v>2020</v>
      </c>
      <c r="C569" t="s">
        <v>119</v>
      </c>
      <c r="D569">
        <v>22</v>
      </c>
    </row>
    <row r="570" spans="1:4">
      <c r="A570" s="21" t="s">
        <v>16</v>
      </c>
      <c r="B570" s="21">
        <v>2021</v>
      </c>
      <c r="C570" t="s">
        <v>120</v>
      </c>
      <c r="D570">
        <v>18</v>
      </c>
    </row>
    <row r="571" spans="1:4">
      <c r="A571" s="21" t="s">
        <v>16</v>
      </c>
      <c r="B571" s="21">
        <v>2021</v>
      </c>
      <c r="C571" t="s">
        <v>119</v>
      </c>
      <c r="D571">
        <v>19</v>
      </c>
    </row>
    <row r="572" spans="1:4">
      <c r="A572" s="21" t="s">
        <v>16</v>
      </c>
      <c r="B572" s="21">
        <v>2022</v>
      </c>
      <c r="C572" t="s">
        <v>120</v>
      </c>
      <c r="D572">
        <v>47</v>
      </c>
    </row>
    <row r="573" spans="1:4">
      <c r="A573" s="21" t="s">
        <v>16</v>
      </c>
      <c r="B573" s="21">
        <v>2022</v>
      </c>
      <c r="C573" t="s">
        <v>119</v>
      </c>
      <c r="D573">
        <v>52</v>
      </c>
    </row>
    <row r="574" spans="1:4">
      <c r="A574" s="21" t="s">
        <v>16</v>
      </c>
      <c r="B574" s="21">
        <v>2023</v>
      </c>
      <c r="C574" t="s">
        <v>120</v>
      </c>
      <c r="D574">
        <v>59</v>
      </c>
    </row>
    <row r="575" spans="1:4">
      <c r="A575" s="21" t="s">
        <v>16</v>
      </c>
      <c r="B575" s="21">
        <v>2023</v>
      </c>
      <c r="C575" t="s">
        <v>119</v>
      </c>
      <c r="D575">
        <v>54</v>
      </c>
    </row>
    <row r="576" spans="1:4">
      <c r="A576" s="21" t="s">
        <v>16</v>
      </c>
      <c r="B576" s="21" t="s">
        <v>243</v>
      </c>
      <c r="C576" t="s">
        <v>120</v>
      </c>
      <c r="D576">
        <v>55</v>
      </c>
    </row>
    <row r="577" spans="1:4">
      <c r="A577" s="21" t="s">
        <v>16</v>
      </c>
      <c r="B577" s="21" t="s">
        <v>243</v>
      </c>
      <c r="C577" t="s">
        <v>119</v>
      </c>
      <c r="D577">
        <v>43</v>
      </c>
    </row>
    <row r="578" spans="1:4">
      <c r="A578" s="21" t="s">
        <v>16</v>
      </c>
      <c r="B578" s="21" t="s">
        <v>248</v>
      </c>
      <c r="C578" t="s">
        <v>120</v>
      </c>
      <c r="D578">
        <v>47</v>
      </c>
    </row>
    <row r="579" spans="1:4">
      <c r="A579" s="21" t="s">
        <v>16</v>
      </c>
      <c r="B579" s="21" t="s">
        <v>248</v>
      </c>
      <c r="C579" t="s">
        <v>119</v>
      </c>
      <c r="D579">
        <v>30</v>
      </c>
    </row>
    <row r="580" spans="1:4">
      <c r="A580" s="21" t="s">
        <v>93</v>
      </c>
      <c r="B580" s="21">
        <v>2023</v>
      </c>
      <c r="C580" t="s">
        <v>120</v>
      </c>
      <c r="D580">
        <v>1</v>
      </c>
    </row>
    <row r="581" spans="1:4">
      <c r="A581" s="21" t="s">
        <v>93</v>
      </c>
      <c r="B581" s="21">
        <v>2023</v>
      </c>
      <c r="C581" t="s">
        <v>119</v>
      </c>
      <c r="D581">
        <v>1</v>
      </c>
    </row>
    <row r="582" spans="1:4">
      <c r="A582" s="21" t="s">
        <v>93</v>
      </c>
      <c r="B582" s="21" t="s">
        <v>243</v>
      </c>
      <c r="C582" t="s">
        <v>119</v>
      </c>
      <c r="D582">
        <v>1</v>
      </c>
    </row>
    <row r="583" spans="1:4">
      <c r="A583" s="21" t="s">
        <v>65</v>
      </c>
      <c r="B583" s="21">
        <v>2020</v>
      </c>
      <c r="C583" t="s">
        <v>120</v>
      </c>
      <c r="D583">
        <v>1</v>
      </c>
    </row>
    <row r="584" spans="1:4">
      <c r="A584" s="21" t="s">
        <v>65</v>
      </c>
      <c r="B584" s="21">
        <v>2020</v>
      </c>
      <c r="C584" t="s">
        <v>119</v>
      </c>
      <c r="D584">
        <v>1</v>
      </c>
    </row>
    <row r="585" spans="1:4">
      <c r="A585" s="21" t="s">
        <v>65</v>
      </c>
      <c r="B585" s="21">
        <v>2021</v>
      </c>
      <c r="C585" t="s">
        <v>120</v>
      </c>
      <c r="D585">
        <v>4</v>
      </c>
    </row>
    <row r="586" spans="1:4">
      <c r="A586" s="21" t="s">
        <v>65</v>
      </c>
      <c r="B586" s="21">
        <v>2022</v>
      </c>
      <c r="C586" t="s">
        <v>120</v>
      </c>
      <c r="D586">
        <v>2</v>
      </c>
    </row>
    <row r="587" spans="1:4">
      <c r="A587" s="21" t="s">
        <v>65</v>
      </c>
      <c r="B587" s="21">
        <v>2023</v>
      </c>
      <c r="C587" t="s">
        <v>120</v>
      </c>
      <c r="D587">
        <v>3</v>
      </c>
    </row>
    <row r="588" spans="1:4">
      <c r="A588" s="21" t="s">
        <v>65</v>
      </c>
      <c r="B588" s="21" t="s">
        <v>243</v>
      </c>
      <c r="C588" t="s">
        <v>120</v>
      </c>
      <c r="D588">
        <v>1</v>
      </c>
    </row>
    <row r="589" spans="1:4">
      <c r="A589" s="21" t="s">
        <v>54</v>
      </c>
      <c r="B589" s="21">
        <v>2020</v>
      </c>
      <c r="C589" t="s">
        <v>120</v>
      </c>
      <c r="D589">
        <v>1</v>
      </c>
    </row>
    <row r="590" spans="1:4">
      <c r="A590" s="21" t="s">
        <v>54</v>
      </c>
      <c r="B590" s="21">
        <v>2020</v>
      </c>
      <c r="C590" t="s">
        <v>119</v>
      </c>
      <c r="D590">
        <v>1</v>
      </c>
    </row>
    <row r="591" spans="1:4">
      <c r="A591" s="21" t="s">
        <v>54</v>
      </c>
      <c r="B591" s="21">
        <v>2021</v>
      </c>
      <c r="C591" t="s">
        <v>120</v>
      </c>
      <c r="D591">
        <v>2</v>
      </c>
    </row>
    <row r="592" spans="1:4">
      <c r="A592" s="21" t="s">
        <v>54</v>
      </c>
      <c r="B592" s="21">
        <v>2021</v>
      </c>
      <c r="C592" t="s">
        <v>119</v>
      </c>
      <c r="D592">
        <v>1</v>
      </c>
    </row>
    <row r="593" spans="1:4">
      <c r="A593" s="21" t="s">
        <v>54</v>
      </c>
      <c r="B593" s="21">
        <v>2022</v>
      </c>
      <c r="C593" t="s">
        <v>119</v>
      </c>
      <c r="D593">
        <v>1</v>
      </c>
    </row>
    <row r="594" spans="1:4">
      <c r="A594" s="21" t="s">
        <v>54</v>
      </c>
      <c r="B594" s="21">
        <v>2023</v>
      </c>
      <c r="C594" t="s">
        <v>120</v>
      </c>
      <c r="D594">
        <v>6</v>
      </c>
    </row>
    <row r="595" spans="1:4">
      <c r="A595" s="21" t="s">
        <v>54</v>
      </c>
      <c r="B595" s="21">
        <v>2023</v>
      </c>
      <c r="C595" t="s">
        <v>119</v>
      </c>
      <c r="D595">
        <v>6</v>
      </c>
    </row>
    <row r="596" spans="1:4">
      <c r="A596" s="21" t="s">
        <v>54</v>
      </c>
      <c r="B596" s="21" t="s">
        <v>243</v>
      </c>
      <c r="C596" t="s">
        <v>120</v>
      </c>
      <c r="D596">
        <v>1</v>
      </c>
    </row>
    <row r="597" spans="1:4">
      <c r="A597" s="21" t="s">
        <v>54</v>
      </c>
      <c r="B597" s="21" t="s">
        <v>243</v>
      </c>
      <c r="C597" t="s">
        <v>119</v>
      </c>
      <c r="D597">
        <v>3</v>
      </c>
    </row>
    <row r="598" spans="1:4">
      <c r="A598" s="21" t="s">
        <v>78</v>
      </c>
      <c r="B598" s="21">
        <v>2020</v>
      </c>
      <c r="C598" t="s">
        <v>120</v>
      </c>
      <c r="D598">
        <v>1</v>
      </c>
    </row>
    <row r="599" spans="1:4">
      <c r="A599" s="21" t="s">
        <v>78</v>
      </c>
      <c r="B599" s="21">
        <v>2020</v>
      </c>
      <c r="C599" t="s">
        <v>119</v>
      </c>
      <c r="D599">
        <v>2</v>
      </c>
    </row>
    <row r="600" spans="1:4">
      <c r="A600" s="21" t="s">
        <v>78</v>
      </c>
      <c r="B600" s="21">
        <v>2021</v>
      </c>
      <c r="C600" t="s">
        <v>120</v>
      </c>
      <c r="D600">
        <v>1</v>
      </c>
    </row>
    <row r="601" spans="1:4">
      <c r="A601" s="21" t="s">
        <v>78</v>
      </c>
      <c r="B601" s="21">
        <v>2021</v>
      </c>
      <c r="C601" t="s">
        <v>119</v>
      </c>
      <c r="D601">
        <v>1</v>
      </c>
    </row>
    <row r="602" spans="1:4">
      <c r="A602" s="21" t="s">
        <v>78</v>
      </c>
      <c r="B602" s="21">
        <v>2022</v>
      </c>
      <c r="C602" t="s">
        <v>120</v>
      </c>
      <c r="D602">
        <v>4</v>
      </c>
    </row>
    <row r="603" spans="1:4">
      <c r="A603" s="21" t="s">
        <v>78</v>
      </c>
      <c r="B603" s="21">
        <v>2022</v>
      </c>
      <c r="C603" t="s">
        <v>119</v>
      </c>
      <c r="D603">
        <v>2</v>
      </c>
    </row>
    <row r="604" spans="1:4">
      <c r="A604" s="21" t="s">
        <v>78</v>
      </c>
      <c r="B604" s="21">
        <v>2023</v>
      </c>
      <c r="C604" t="s">
        <v>120</v>
      </c>
      <c r="D604">
        <v>1</v>
      </c>
    </row>
    <row r="605" spans="1:4">
      <c r="A605" s="21" t="s">
        <v>78</v>
      </c>
      <c r="B605" s="21">
        <v>2023</v>
      </c>
      <c r="C605" t="s">
        <v>119</v>
      </c>
      <c r="D605">
        <v>1</v>
      </c>
    </row>
    <row r="606" spans="1:4">
      <c r="A606" s="21" t="s">
        <v>78</v>
      </c>
      <c r="B606" s="21" t="s">
        <v>243</v>
      </c>
      <c r="C606" t="s">
        <v>120</v>
      </c>
      <c r="D606">
        <v>3</v>
      </c>
    </row>
    <row r="607" spans="1:4">
      <c r="A607" s="21" t="s">
        <v>78</v>
      </c>
      <c r="B607" s="21" t="s">
        <v>243</v>
      </c>
      <c r="C607" t="s">
        <v>119</v>
      </c>
      <c r="D607">
        <v>2</v>
      </c>
    </row>
    <row r="608" spans="1:4">
      <c r="A608" s="21" t="s">
        <v>78</v>
      </c>
      <c r="B608" s="21" t="s">
        <v>248</v>
      </c>
      <c r="C608" t="s">
        <v>120</v>
      </c>
      <c r="D608">
        <v>2</v>
      </c>
    </row>
    <row r="609" spans="1:4">
      <c r="A609" s="21" t="s">
        <v>78</v>
      </c>
      <c r="B609" s="21" t="s">
        <v>248</v>
      </c>
      <c r="C609" t="s">
        <v>119</v>
      </c>
      <c r="D609">
        <v>1</v>
      </c>
    </row>
    <row r="610" spans="1:4">
      <c r="A610" s="21" t="s">
        <v>57</v>
      </c>
      <c r="B610" s="21">
        <v>2020</v>
      </c>
      <c r="C610" t="s">
        <v>120</v>
      </c>
      <c r="D610">
        <v>1</v>
      </c>
    </row>
    <row r="611" spans="1:4">
      <c r="A611" s="21" t="s">
        <v>57</v>
      </c>
      <c r="B611" s="21">
        <v>2021</v>
      </c>
      <c r="C611" t="s">
        <v>119</v>
      </c>
      <c r="D611">
        <v>1</v>
      </c>
    </row>
    <row r="612" spans="1:4">
      <c r="A612" s="21" t="s">
        <v>57</v>
      </c>
      <c r="B612" s="21">
        <v>2022</v>
      </c>
      <c r="C612" t="s">
        <v>120</v>
      </c>
      <c r="D612">
        <v>1</v>
      </c>
    </row>
    <row r="613" spans="1:4">
      <c r="A613" s="21" t="s">
        <v>57</v>
      </c>
      <c r="B613" s="21">
        <v>2023</v>
      </c>
      <c r="C613" t="s">
        <v>119</v>
      </c>
      <c r="D613">
        <v>1</v>
      </c>
    </row>
    <row r="614" spans="1:4">
      <c r="A614" s="21" t="s">
        <v>57</v>
      </c>
      <c r="B614" s="21" t="s">
        <v>243</v>
      </c>
      <c r="C614" t="s">
        <v>120</v>
      </c>
      <c r="D614">
        <v>2</v>
      </c>
    </row>
    <row r="615" spans="1:4">
      <c r="A615" s="21" t="s">
        <v>57</v>
      </c>
      <c r="B615" s="21" t="s">
        <v>243</v>
      </c>
      <c r="C615" t="s">
        <v>119</v>
      </c>
      <c r="D615">
        <v>1</v>
      </c>
    </row>
    <row r="616" spans="1:4">
      <c r="A616" s="21" t="s">
        <v>52</v>
      </c>
      <c r="B616" s="21">
        <v>2020</v>
      </c>
      <c r="C616" t="s">
        <v>120</v>
      </c>
      <c r="D616">
        <v>3</v>
      </c>
    </row>
    <row r="617" spans="1:4">
      <c r="A617" s="21" t="s">
        <v>52</v>
      </c>
      <c r="B617" s="21">
        <v>2020</v>
      </c>
      <c r="C617" t="s">
        <v>119</v>
      </c>
      <c r="D617">
        <v>2</v>
      </c>
    </row>
    <row r="618" spans="1:4">
      <c r="A618" s="21" t="s">
        <v>52</v>
      </c>
      <c r="B618" s="21">
        <v>2021</v>
      </c>
      <c r="C618" t="s">
        <v>120</v>
      </c>
      <c r="D618">
        <v>1</v>
      </c>
    </row>
    <row r="619" spans="1:4">
      <c r="A619" s="21" t="s">
        <v>52</v>
      </c>
      <c r="B619" s="21">
        <v>2022</v>
      </c>
      <c r="C619" t="s">
        <v>120</v>
      </c>
      <c r="D619">
        <v>3</v>
      </c>
    </row>
    <row r="620" spans="1:4">
      <c r="A620" s="21" t="s">
        <v>52</v>
      </c>
      <c r="B620" s="21">
        <v>2022</v>
      </c>
      <c r="C620" t="s">
        <v>119</v>
      </c>
      <c r="D620">
        <v>4</v>
      </c>
    </row>
    <row r="621" spans="1:4">
      <c r="A621" s="21" t="s">
        <v>52</v>
      </c>
      <c r="B621" s="21">
        <v>2023</v>
      </c>
      <c r="C621" t="s">
        <v>120</v>
      </c>
      <c r="D621">
        <v>3</v>
      </c>
    </row>
    <row r="622" spans="1:4">
      <c r="A622" s="21" t="s">
        <v>52</v>
      </c>
      <c r="B622" s="21">
        <v>2023</v>
      </c>
      <c r="C622" t="s">
        <v>119</v>
      </c>
      <c r="D622">
        <v>1</v>
      </c>
    </row>
    <row r="623" spans="1:4">
      <c r="A623" s="21" t="s">
        <v>52</v>
      </c>
      <c r="B623" s="21" t="s">
        <v>243</v>
      </c>
      <c r="C623" t="s">
        <v>119</v>
      </c>
      <c r="D623">
        <v>2</v>
      </c>
    </row>
    <row r="624" spans="1:4">
      <c r="A624" s="21" t="s">
        <v>52</v>
      </c>
      <c r="B624" s="21" t="s">
        <v>248</v>
      </c>
      <c r="C624" t="s">
        <v>120</v>
      </c>
      <c r="D624">
        <v>1</v>
      </c>
    </row>
    <row r="625" spans="1:4">
      <c r="A625" s="21" t="s">
        <v>52</v>
      </c>
      <c r="B625" s="21" t="s">
        <v>248</v>
      </c>
      <c r="C625" t="s">
        <v>119</v>
      </c>
      <c r="D625">
        <v>2</v>
      </c>
    </row>
    <row r="626" spans="1:4">
      <c r="A626" s="21" t="s">
        <v>69</v>
      </c>
      <c r="B626" s="21">
        <v>2020</v>
      </c>
      <c r="C626" t="s">
        <v>120</v>
      </c>
      <c r="D626">
        <v>1</v>
      </c>
    </row>
    <row r="627" spans="1:4">
      <c r="A627" s="21" t="s">
        <v>69</v>
      </c>
      <c r="B627" s="21" t="s">
        <v>248</v>
      </c>
      <c r="C627" t="s">
        <v>120</v>
      </c>
      <c r="D627">
        <v>2</v>
      </c>
    </row>
    <row r="628" spans="1:4">
      <c r="A628" s="21" t="s">
        <v>66</v>
      </c>
      <c r="B628" s="21">
        <v>2022</v>
      </c>
      <c r="C628" t="s">
        <v>120</v>
      </c>
      <c r="D628">
        <v>5</v>
      </c>
    </row>
    <row r="629" spans="1:4">
      <c r="A629" s="21" t="s">
        <v>66</v>
      </c>
      <c r="B629" s="21">
        <v>2022</v>
      </c>
      <c r="C629" t="s">
        <v>119</v>
      </c>
      <c r="D629">
        <v>2</v>
      </c>
    </row>
    <row r="630" spans="1:4">
      <c r="A630" s="21" t="s">
        <v>66</v>
      </c>
      <c r="B630" s="21" t="s">
        <v>243</v>
      </c>
      <c r="C630" t="s">
        <v>120</v>
      </c>
      <c r="D630">
        <v>1</v>
      </c>
    </row>
    <row r="631" spans="1:4">
      <c r="A631" s="21" t="s">
        <v>66</v>
      </c>
      <c r="B631" s="21" t="s">
        <v>243</v>
      </c>
      <c r="C631" t="s">
        <v>119</v>
      </c>
      <c r="D631">
        <v>1</v>
      </c>
    </row>
    <row r="632" spans="1:4">
      <c r="A632" s="21" t="s">
        <v>66</v>
      </c>
      <c r="B632" s="21" t="s">
        <v>248</v>
      </c>
      <c r="C632" t="s">
        <v>120</v>
      </c>
      <c r="D632">
        <v>1</v>
      </c>
    </row>
    <row r="633" spans="1:4">
      <c r="A633" s="21" t="s">
        <v>66</v>
      </c>
      <c r="B633" s="21" t="s">
        <v>248</v>
      </c>
      <c r="C633" t="s">
        <v>119</v>
      </c>
      <c r="D633">
        <v>2</v>
      </c>
    </row>
    <row r="634" spans="1:4">
      <c r="A634" s="21" t="s">
        <v>37</v>
      </c>
      <c r="B634" s="21">
        <v>2020</v>
      </c>
      <c r="C634" t="s">
        <v>119</v>
      </c>
      <c r="D634">
        <v>1</v>
      </c>
    </row>
    <row r="635" spans="1:4">
      <c r="A635" s="21" t="s">
        <v>37</v>
      </c>
      <c r="B635" s="21">
        <v>2021</v>
      </c>
      <c r="C635" t="s">
        <v>119</v>
      </c>
      <c r="D635">
        <v>1</v>
      </c>
    </row>
    <row r="636" spans="1:4">
      <c r="A636" s="21" t="s">
        <v>37</v>
      </c>
      <c r="B636" s="21">
        <v>2022</v>
      </c>
      <c r="C636" t="s">
        <v>119</v>
      </c>
      <c r="D636">
        <v>1</v>
      </c>
    </row>
    <row r="637" spans="1:4">
      <c r="A637" s="21" t="s">
        <v>37</v>
      </c>
      <c r="B637" s="21">
        <v>2023</v>
      </c>
      <c r="C637" t="s">
        <v>120</v>
      </c>
      <c r="D637">
        <v>3</v>
      </c>
    </row>
    <row r="638" spans="1:4">
      <c r="A638" s="21" t="s">
        <v>37</v>
      </c>
      <c r="B638" s="21">
        <v>2023</v>
      </c>
      <c r="C638" t="s">
        <v>119</v>
      </c>
      <c r="D638">
        <v>1</v>
      </c>
    </row>
    <row r="639" spans="1:4">
      <c r="A639" s="21" t="s">
        <v>37</v>
      </c>
      <c r="B639" s="21" t="s">
        <v>243</v>
      </c>
      <c r="C639" t="s">
        <v>119</v>
      </c>
      <c r="D639">
        <v>2</v>
      </c>
    </row>
    <row r="640" spans="1:4">
      <c r="A640" s="21" t="s">
        <v>72</v>
      </c>
      <c r="B640" s="21">
        <v>2020</v>
      </c>
      <c r="C640" t="s">
        <v>119</v>
      </c>
      <c r="D640">
        <v>1</v>
      </c>
    </row>
    <row r="641" spans="1:4">
      <c r="A641" s="21" t="s">
        <v>72</v>
      </c>
      <c r="B641" s="21">
        <v>2021</v>
      </c>
      <c r="C641" t="s">
        <v>119</v>
      </c>
      <c r="D641">
        <v>2</v>
      </c>
    </row>
    <row r="642" spans="1:4">
      <c r="A642" s="21" t="s">
        <v>72</v>
      </c>
      <c r="B642" s="21">
        <v>2022</v>
      </c>
      <c r="C642" t="s">
        <v>120</v>
      </c>
      <c r="D642">
        <v>3</v>
      </c>
    </row>
    <row r="643" spans="1:4">
      <c r="A643" s="21" t="s">
        <v>72</v>
      </c>
      <c r="B643" s="21">
        <v>2022</v>
      </c>
      <c r="C643" t="s">
        <v>119</v>
      </c>
      <c r="D643">
        <v>8</v>
      </c>
    </row>
    <row r="644" spans="1:4">
      <c r="A644" s="21" t="s">
        <v>72</v>
      </c>
      <c r="B644" s="21">
        <v>2023</v>
      </c>
      <c r="C644" t="s">
        <v>119</v>
      </c>
      <c r="D644">
        <v>1</v>
      </c>
    </row>
    <row r="645" spans="1:4">
      <c r="A645" s="21" t="s">
        <v>72</v>
      </c>
      <c r="B645" s="21" t="s">
        <v>243</v>
      </c>
      <c r="C645" t="s">
        <v>120</v>
      </c>
      <c r="D645">
        <v>5</v>
      </c>
    </row>
    <row r="646" spans="1:4">
      <c r="A646" s="21" t="s">
        <v>72</v>
      </c>
      <c r="B646" s="21" t="s">
        <v>243</v>
      </c>
      <c r="C646" t="s">
        <v>119</v>
      </c>
      <c r="D646">
        <v>6</v>
      </c>
    </row>
    <row r="647" spans="1:4">
      <c r="A647" s="21" t="s">
        <v>6</v>
      </c>
      <c r="B647" s="21">
        <v>2020</v>
      </c>
      <c r="C647" t="s">
        <v>120</v>
      </c>
      <c r="D647">
        <v>1</v>
      </c>
    </row>
    <row r="648" spans="1:4">
      <c r="A648" s="21" t="s">
        <v>6</v>
      </c>
      <c r="B648" s="21">
        <v>2020</v>
      </c>
      <c r="C648" t="s">
        <v>119</v>
      </c>
      <c r="D648">
        <v>2</v>
      </c>
    </row>
    <row r="649" spans="1:4">
      <c r="A649" s="21" t="s">
        <v>6</v>
      </c>
      <c r="B649" s="21">
        <v>2021</v>
      </c>
      <c r="C649" t="s">
        <v>119</v>
      </c>
      <c r="D649">
        <v>2</v>
      </c>
    </row>
    <row r="650" spans="1:4">
      <c r="A650" s="21" t="s">
        <v>6</v>
      </c>
      <c r="B650" s="21">
        <v>2022</v>
      </c>
      <c r="C650" t="s">
        <v>120</v>
      </c>
      <c r="D650">
        <v>2</v>
      </c>
    </row>
    <row r="651" spans="1:4">
      <c r="A651" s="21" t="s">
        <v>6</v>
      </c>
      <c r="B651" s="21">
        <v>2022</v>
      </c>
      <c r="C651" t="s">
        <v>119</v>
      </c>
      <c r="D651">
        <v>3</v>
      </c>
    </row>
    <row r="652" spans="1:4">
      <c r="A652" s="21" t="s">
        <v>6</v>
      </c>
      <c r="B652" s="21">
        <v>2023</v>
      </c>
      <c r="C652" t="s">
        <v>120</v>
      </c>
      <c r="D652">
        <v>1</v>
      </c>
    </row>
    <row r="653" spans="1:4">
      <c r="A653" s="21" t="s">
        <v>6</v>
      </c>
      <c r="B653" s="21">
        <v>2023</v>
      </c>
      <c r="C653" t="s">
        <v>119</v>
      </c>
      <c r="D653">
        <v>1</v>
      </c>
    </row>
    <row r="654" spans="1:4">
      <c r="A654" s="21" t="s">
        <v>6</v>
      </c>
      <c r="B654" s="21" t="s">
        <v>243</v>
      </c>
      <c r="C654" t="s">
        <v>119</v>
      </c>
      <c r="D654">
        <v>1</v>
      </c>
    </row>
    <row r="655" spans="1:4">
      <c r="A655" s="21" t="s">
        <v>6</v>
      </c>
      <c r="B655" s="21" t="s">
        <v>248</v>
      </c>
      <c r="C655" t="s">
        <v>119</v>
      </c>
      <c r="D655">
        <v>3</v>
      </c>
    </row>
    <row r="656" spans="1:4">
      <c r="A656" s="21" t="s">
        <v>64</v>
      </c>
      <c r="B656" s="21">
        <v>2020</v>
      </c>
      <c r="C656" t="s">
        <v>119</v>
      </c>
      <c r="D656">
        <v>1</v>
      </c>
    </row>
    <row r="657" spans="1:4">
      <c r="A657" s="21" t="s">
        <v>64</v>
      </c>
      <c r="B657" s="21">
        <v>2023</v>
      </c>
      <c r="C657" t="s">
        <v>120</v>
      </c>
      <c r="D657">
        <v>1</v>
      </c>
    </row>
    <row r="658" spans="1:4">
      <c r="A658" s="21" t="s">
        <v>64</v>
      </c>
      <c r="B658" s="21" t="s">
        <v>243</v>
      </c>
      <c r="C658" t="s">
        <v>120</v>
      </c>
      <c r="D658">
        <v>1</v>
      </c>
    </row>
    <row r="659" spans="1:4">
      <c r="A659" s="21" t="s">
        <v>64</v>
      </c>
      <c r="B659" s="21" t="s">
        <v>243</v>
      </c>
      <c r="C659" t="s">
        <v>119</v>
      </c>
      <c r="D659">
        <v>3</v>
      </c>
    </row>
    <row r="660" spans="1:4">
      <c r="A660" s="21" t="s">
        <v>64</v>
      </c>
      <c r="B660" s="21" t="s">
        <v>248</v>
      </c>
      <c r="C660" t="s">
        <v>120</v>
      </c>
      <c r="D660">
        <v>1</v>
      </c>
    </row>
    <row r="661" spans="1:4">
      <c r="A661" s="21" t="s">
        <v>107</v>
      </c>
      <c r="B661" s="21">
        <v>2022</v>
      </c>
      <c r="C661" t="s">
        <v>120</v>
      </c>
      <c r="D661">
        <v>2</v>
      </c>
    </row>
    <row r="662" spans="1:4">
      <c r="A662" s="21" t="s">
        <v>107</v>
      </c>
      <c r="B662" s="21">
        <v>2023</v>
      </c>
      <c r="C662" t="s">
        <v>119</v>
      </c>
      <c r="D662">
        <v>3</v>
      </c>
    </row>
    <row r="663" spans="1:4">
      <c r="A663" s="21" t="s">
        <v>2</v>
      </c>
      <c r="B663" s="21">
        <v>2020</v>
      </c>
      <c r="C663" t="s">
        <v>120</v>
      </c>
      <c r="D663">
        <v>1</v>
      </c>
    </row>
    <row r="664" spans="1:4">
      <c r="A664" s="21" t="s">
        <v>2</v>
      </c>
      <c r="B664" s="21">
        <v>2020</v>
      </c>
      <c r="C664" t="s">
        <v>119</v>
      </c>
      <c r="D664">
        <v>4</v>
      </c>
    </row>
    <row r="665" spans="1:4">
      <c r="A665" s="21" t="s">
        <v>2</v>
      </c>
      <c r="B665" s="21">
        <v>2021</v>
      </c>
      <c r="C665" t="s">
        <v>120</v>
      </c>
      <c r="D665">
        <v>1</v>
      </c>
    </row>
    <row r="666" spans="1:4">
      <c r="A666" s="21" t="s">
        <v>2</v>
      </c>
      <c r="B666" s="21">
        <v>2022</v>
      </c>
      <c r="C666" t="s">
        <v>120</v>
      </c>
      <c r="D666">
        <v>1</v>
      </c>
    </row>
    <row r="667" spans="1:4">
      <c r="A667" s="21" t="s">
        <v>2</v>
      </c>
      <c r="B667" s="21">
        <v>2022</v>
      </c>
      <c r="C667" t="s">
        <v>119</v>
      </c>
      <c r="D667">
        <v>8</v>
      </c>
    </row>
    <row r="668" spans="1:4">
      <c r="A668" s="21" t="s">
        <v>2</v>
      </c>
      <c r="B668" s="21">
        <v>2023</v>
      </c>
      <c r="C668" t="s">
        <v>120</v>
      </c>
      <c r="D668">
        <v>3</v>
      </c>
    </row>
    <row r="669" spans="1:4">
      <c r="A669" s="21" t="s">
        <v>2</v>
      </c>
      <c r="B669" s="21">
        <v>2023</v>
      </c>
      <c r="C669" t="s">
        <v>119</v>
      </c>
      <c r="D669">
        <v>3</v>
      </c>
    </row>
    <row r="670" spans="1:4">
      <c r="A670" s="21" t="s">
        <v>2</v>
      </c>
      <c r="B670" s="21" t="s">
        <v>243</v>
      </c>
      <c r="C670" t="s">
        <v>120</v>
      </c>
      <c r="D670">
        <v>1</v>
      </c>
    </row>
    <row r="671" spans="1:4">
      <c r="A671" s="21" t="s">
        <v>2</v>
      </c>
      <c r="B671" s="21" t="s">
        <v>243</v>
      </c>
      <c r="C671" t="s">
        <v>119</v>
      </c>
      <c r="D671">
        <v>7</v>
      </c>
    </row>
    <row r="672" spans="1:4">
      <c r="A672" s="21" t="s">
        <v>2</v>
      </c>
      <c r="B672" s="21" t="s">
        <v>248</v>
      </c>
      <c r="C672" t="s">
        <v>120</v>
      </c>
      <c r="D672">
        <v>1</v>
      </c>
    </row>
    <row r="673" spans="1:4">
      <c r="A673" s="21" t="s">
        <v>2</v>
      </c>
      <c r="B673" s="21" t="s">
        <v>248</v>
      </c>
      <c r="C673" t="s">
        <v>119</v>
      </c>
      <c r="D673">
        <v>1</v>
      </c>
    </row>
    <row r="674" spans="1:4">
      <c r="A674" s="21" t="s">
        <v>25</v>
      </c>
      <c r="B674" s="21">
        <v>2020</v>
      </c>
      <c r="C674" t="s">
        <v>120</v>
      </c>
      <c r="D674">
        <v>2</v>
      </c>
    </row>
    <row r="675" spans="1:4">
      <c r="A675" s="21" t="s">
        <v>25</v>
      </c>
      <c r="B675" s="21">
        <v>2020</v>
      </c>
      <c r="C675" t="s">
        <v>119</v>
      </c>
      <c r="D675">
        <v>3</v>
      </c>
    </row>
    <row r="676" spans="1:4">
      <c r="A676" s="21" t="s">
        <v>25</v>
      </c>
      <c r="B676" s="21">
        <v>2021</v>
      </c>
      <c r="C676" t="s">
        <v>120</v>
      </c>
      <c r="D676">
        <v>1</v>
      </c>
    </row>
    <row r="677" spans="1:4">
      <c r="A677" s="21" t="s">
        <v>25</v>
      </c>
      <c r="B677" s="21">
        <v>2021</v>
      </c>
      <c r="C677" t="s">
        <v>119</v>
      </c>
      <c r="D677">
        <v>2</v>
      </c>
    </row>
    <row r="678" spans="1:4">
      <c r="A678" s="21" t="s">
        <v>25</v>
      </c>
      <c r="B678" s="21">
        <v>2022</v>
      </c>
      <c r="C678" t="s">
        <v>120</v>
      </c>
      <c r="D678">
        <v>1</v>
      </c>
    </row>
    <row r="679" spans="1:4">
      <c r="A679" s="21" t="s">
        <v>25</v>
      </c>
      <c r="B679" s="21" t="s">
        <v>243</v>
      </c>
      <c r="C679" t="s">
        <v>120</v>
      </c>
      <c r="D679">
        <v>1</v>
      </c>
    </row>
    <row r="680" spans="1:4">
      <c r="A680" s="21" t="s">
        <v>25</v>
      </c>
      <c r="B680" s="21" t="s">
        <v>243</v>
      </c>
      <c r="C680" t="s">
        <v>119</v>
      </c>
      <c r="D680">
        <v>2</v>
      </c>
    </row>
    <row r="681" spans="1:4">
      <c r="A681" s="21" t="s">
        <v>47</v>
      </c>
      <c r="B681" s="21">
        <v>2020</v>
      </c>
      <c r="C681" t="s">
        <v>120</v>
      </c>
      <c r="D681">
        <v>4</v>
      </c>
    </row>
    <row r="682" spans="1:4">
      <c r="A682" s="21" t="s">
        <v>47</v>
      </c>
      <c r="B682" s="21">
        <v>2020</v>
      </c>
      <c r="C682" t="s">
        <v>119</v>
      </c>
      <c r="D682">
        <v>1</v>
      </c>
    </row>
    <row r="683" spans="1:4">
      <c r="A683" s="21" t="s">
        <v>47</v>
      </c>
      <c r="B683" s="21">
        <v>2022</v>
      </c>
      <c r="C683" t="s">
        <v>120</v>
      </c>
      <c r="D683">
        <v>7</v>
      </c>
    </row>
    <row r="684" spans="1:4">
      <c r="A684" s="21" t="s">
        <v>47</v>
      </c>
      <c r="B684" s="21">
        <v>2022</v>
      </c>
      <c r="C684" t="s">
        <v>119</v>
      </c>
      <c r="D684">
        <v>5</v>
      </c>
    </row>
    <row r="685" spans="1:4">
      <c r="A685" s="21" t="s">
        <v>47</v>
      </c>
      <c r="B685" s="21">
        <v>2023</v>
      </c>
      <c r="C685" t="s">
        <v>119</v>
      </c>
      <c r="D685">
        <v>1</v>
      </c>
    </row>
    <row r="686" spans="1:4">
      <c r="A686" s="21" t="s">
        <v>47</v>
      </c>
      <c r="B686" s="21" t="s">
        <v>243</v>
      </c>
      <c r="C686" t="s">
        <v>120</v>
      </c>
      <c r="D686">
        <v>2</v>
      </c>
    </row>
    <row r="687" spans="1:4">
      <c r="A687" s="21" t="s">
        <v>47</v>
      </c>
      <c r="B687" s="21" t="s">
        <v>243</v>
      </c>
      <c r="C687" t="s">
        <v>119</v>
      </c>
      <c r="D687">
        <v>2</v>
      </c>
    </row>
    <row r="688" spans="1:4">
      <c r="A688" s="21" t="s">
        <v>86</v>
      </c>
      <c r="B688" s="21">
        <v>2022</v>
      </c>
      <c r="C688" t="s">
        <v>120</v>
      </c>
      <c r="D688">
        <v>1</v>
      </c>
    </row>
    <row r="689" spans="1:4">
      <c r="A689" s="21" t="s">
        <v>86</v>
      </c>
      <c r="B689" s="21">
        <v>2023</v>
      </c>
      <c r="C689" t="s">
        <v>120</v>
      </c>
      <c r="D689">
        <v>1</v>
      </c>
    </row>
    <row r="690" spans="1:4">
      <c r="A690" s="21" t="s">
        <v>86</v>
      </c>
      <c r="B690" s="21" t="s">
        <v>248</v>
      </c>
      <c r="C690" t="s">
        <v>119</v>
      </c>
      <c r="D690">
        <v>1</v>
      </c>
    </row>
    <row r="691" spans="1:4">
      <c r="A691" s="21" t="s">
        <v>17</v>
      </c>
      <c r="B691" s="21">
        <v>2020</v>
      </c>
      <c r="C691" t="s">
        <v>120</v>
      </c>
      <c r="D691">
        <v>3</v>
      </c>
    </row>
    <row r="692" spans="1:4">
      <c r="A692" s="21" t="s">
        <v>17</v>
      </c>
      <c r="B692" s="21">
        <v>2021</v>
      </c>
      <c r="C692" t="s">
        <v>119</v>
      </c>
      <c r="D692">
        <v>4</v>
      </c>
    </row>
    <row r="693" spans="1:4">
      <c r="A693" s="21" t="s">
        <v>63</v>
      </c>
      <c r="B693" s="21">
        <v>2020</v>
      </c>
      <c r="C693" t="s">
        <v>119</v>
      </c>
      <c r="D693">
        <v>1</v>
      </c>
    </row>
    <row r="694" spans="1:4">
      <c r="A694" s="21" t="s">
        <v>63</v>
      </c>
      <c r="B694" s="21">
        <v>2023</v>
      </c>
      <c r="C694" t="s">
        <v>120</v>
      </c>
      <c r="D694">
        <v>1</v>
      </c>
    </row>
    <row r="695" spans="1:4">
      <c r="A695" s="21" t="s">
        <v>63</v>
      </c>
      <c r="B695" s="21">
        <v>2023</v>
      </c>
      <c r="C695" t="s">
        <v>119</v>
      </c>
      <c r="D695">
        <v>1</v>
      </c>
    </row>
    <row r="696" spans="1:4">
      <c r="A696" s="21" t="s">
        <v>63</v>
      </c>
      <c r="B696" s="21" t="s">
        <v>243</v>
      </c>
      <c r="C696" t="s">
        <v>120</v>
      </c>
      <c r="D696">
        <v>4</v>
      </c>
    </row>
    <row r="697" spans="1:4">
      <c r="A697" s="21" t="s">
        <v>63</v>
      </c>
      <c r="B697" s="21" t="s">
        <v>243</v>
      </c>
      <c r="C697" t="s">
        <v>119</v>
      </c>
      <c r="D697">
        <v>2</v>
      </c>
    </row>
    <row r="698" spans="1:4">
      <c r="A698" s="21" t="s">
        <v>63</v>
      </c>
      <c r="B698" s="21" t="s">
        <v>248</v>
      </c>
      <c r="C698" t="s">
        <v>120</v>
      </c>
      <c r="D698">
        <v>3</v>
      </c>
    </row>
    <row r="699" spans="1:4">
      <c r="A699" s="21" t="s">
        <v>63</v>
      </c>
      <c r="B699" s="21" t="s">
        <v>248</v>
      </c>
      <c r="C699" t="s">
        <v>119</v>
      </c>
      <c r="D699">
        <v>4</v>
      </c>
    </row>
    <row r="700" spans="1:4">
      <c r="A700" s="21" t="s">
        <v>7</v>
      </c>
      <c r="B700" s="21">
        <v>2020</v>
      </c>
      <c r="C700" t="s">
        <v>119</v>
      </c>
      <c r="D700">
        <v>4</v>
      </c>
    </row>
    <row r="701" spans="1:4">
      <c r="A701" s="21" t="s">
        <v>7</v>
      </c>
      <c r="B701" s="21">
        <v>2021</v>
      </c>
      <c r="C701" t="s">
        <v>120</v>
      </c>
      <c r="D701">
        <v>6</v>
      </c>
    </row>
    <row r="702" spans="1:4">
      <c r="A702" s="21" t="s">
        <v>7</v>
      </c>
      <c r="B702" s="21">
        <v>2021</v>
      </c>
      <c r="C702" t="s">
        <v>119</v>
      </c>
      <c r="D702">
        <v>3</v>
      </c>
    </row>
    <row r="703" spans="1:4">
      <c r="A703" s="21" t="s">
        <v>7</v>
      </c>
      <c r="B703" s="21">
        <v>2022</v>
      </c>
      <c r="C703" t="s">
        <v>120</v>
      </c>
      <c r="D703">
        <v>5</v>
      </c>
    </row>
    <row r="704" spans="1:4">
      <c r="A704" s="21" t="s">
        <v>7</v>
      </c>
      <c r="B704" s="21">
        <v>2022</v>
      </c>
      <c r="C704" t="s">
        <v>119</v>
      </c>
      <c r="D704">
        <v>1</v>
      </c>
    </row>
    <row r="705" spans="1:4">
      <c r="A705" s="21" t="s">
        <v>7</v>
      </c>
      <c r="B705" s="21">
        <v>2023</v>
      </c>
      <c r="C705" t="s">
        <v>120</v>
      </c>
      <c r="D705">
        <v>1</v>
      </c>
    </row>
    <row r="706" spans="1:4">
      <c r="A706" s="21" t="s">
        <v>7</v>
      </c>
      <c r="B706" s="21">
        <v>2023</v>
      </c>
      <c r="C706" t="s">
        <v>119</v>
      </c>
      <c r="D706">
        <v>2</v>
      </c>
    </row>
    <row r="707" spans="1:4">
      <c r="A707" s="21" t="s">
        <v>7</v>
      </c>
      <c r="B707" s="21" t="s">
        <v>243</v>
      </c>
      <c r="C707" t="s">
        <v>119</v>
      </c>
      <c r="D707">
        <v>1</v>
      </c>
    </row>
    <row r="708" spans="1:4">
      <c r="A708" s="21" t="s">
        <v>7</v>
      </c>
      <c r="B708" s="21" t="s">
        <v>248</v>
      </c>
      <c r="C708" t="s">
        <v>120</v>
      </c>
      <c r="D708">
        <v>2</v>
      </c>
    </row>
    <row r="709" spans="1:4">
      <c r="A709" s="21" t="s">
        <v>7</v>
      </c>
      <c r="B709" s="21" t="s">
        <v>248</v>
      </c>
      <c r="C709" t="s">
        <v>119</v>
      </c>
      <c r="D709">
        <v>1</v>
      </c>
    </row>
    <row r="710" spans="1:4">
      <c r="A710" s="21" t="s">
        <v>70</v>
      </c>
      <c r="B710" s="21">
        <v>2020</v>
      </c>
      <c r="C710" t="s">
        <v>120</v>
      </c>
      <c r="D710">
        <v>1</v>
      </c>
    </row>
    <row r="711" spans="1:4">
      <c r="A711" s="21" t="s">
        <v>70</v>
      </c>
      <c r="B711" s="21">
        <v>2022</v>
      </c>
      <c r="C711" t="s">
        <v>120</v>
      </c>
      <c r="D711">
        <v>4</v>
      </c>
    </row>
    <row r="712" spans="1:4">
      <c r="A712" s="21" t="s">
        <v>70</v>
      </c>
      <c r="B712" s="21">
        <v>2022</v>
      </c>
      <c r="C712" t="s">
        <v>119</v>
      </c>
      <c r="D712">
        <v>5</v>
      </c>
    </row>
    <row r="713" spans="1:4">
      <c r="A713" s="21" t="s">
        <v>70</v>
      </c>
      <c r="B713" s="21" t="s">
        <v>243</v>
      </c>
      <c r="C713" t="s">
        <v>119</v>
      </c>
      <c r="D713">
        <v>1</v>
      </c>
    </row>
    <row r="714" spans="1:4">
      <c r="A714" s="21" t="s">
        <v>12</v>
      </c>
      <c r="B714" s="21">
        <v>2020</v>
      </c>
      <c r="C714" t="s">
        <v>120</v>
      </c>
      <c r="D714">
        <v>5</v>
      </c>
    </row>
    <row r="715" spans="1:4">
      <c r="A715" s="21" t="s">
        <v>12</v>
      </c>
      <c r="B715" s="21">
        <v>2020</v>
      </c>
      <c r="C715" t="s">
        <v>119</v>
      </c>
      <c r="D715">
        <v>6</v>
      </c>
    </row>
    <row r="716" spans="1:4">
      <c r="A716" s="21" t="s">
        <v>12</v>
      </c>
      <c r="B716" s="21">
        <v>2021</v>
      </c>
      <c r="C716" t="s">
        <v>120</v>
      </c>
      <c r="D716">
        <v>2</v>
      </c>
    </row>
    <row r="717" spans="1:4">
      <c r="A717" s="21" t="s">
        <v>12</v>
      </c>
      <c r="B717" s="21">
        <v>2021</v>
      </c>
      <c r="C717" t="s">
        <v>119</v>
      </c>
      <c r="D717">
        <v>1</v>
      </c>
    </row>
    <row r="718" spans="1:4">
      <c r="A718" s="21" t="s">
        <v>12</v>
      </c>
      <c r="B718" s="21">
        <v>2022</v>
      </c>
      <c r="C718" t="s">
        <v>120</v>
      </c>
      <c r="D718">
        <v>6</v>
      </c>
    </row>
    <row r="719" spans="1:4">
      <c r="A719" s="21" t="s">
        <v>12</v>
      </c>
      <c r="B719" s="21">
        <v>2022</v>
      </c>
      <c r="C719" t="s">
        <v>119</v>
      </c>
      <c r="D719">
        <v>3</v>
      </c>
    </row>
    <row r="720" spans="1:4">
      <c r="A720" s="21" t="s">
        <v>12</v>
      </c>
      <c r="B720" s="21">
        <v>2023</v>
      </c>
      <c r="C720" t="s">
        <v>120</v>
      </c>
      <c r="D720">
        <v>9</v>
      </c>
    </row>
    <row r="721" spans="1:4">
      <c r="A721" s="21" t="s">
        <v>12</v>
      </c>
      <c r="B721" s="21">
        <v>2023</v>
      </c>
      <c r="C721" t="s">
        <v>119</v>
      </c>
      <c r="D721">
        <v>4</v>
      </c>
    </row>
    <row r="722" spans="1:4">
      <c r="A722" s="21" t="s">
        <v>12</v>
      </c>
      <c r="B722" s="21" t="s">
        <v>243</v>
      </c>
      <c r="C722" t="s">
        <v>120</v>
      </c>
      <c r="D722">
        <v>13</v>
      </c>
    </row>
    <row r="723" spans="1:4">
      <c r="A723" s="21" t="s">
        <v>12</v>
      </c>
      <c r="B723" s="21" t="s">
        <v>243</v>
      </c>
      <c r="C723" t="s">
        <v>119</v>
      </c>
      <c r="D723">
        <v>7</v>
      </c>
    </row>
    <row r="724" spans="1:4">
      <c r="A724" s="21" t="s">
        <v>12</v>
      </c>
      <c r="B724" s="21" t="s">
        <v>248</v>
      </c>
      <c r="C724" t="s">
        <v>119</v>
      </c>
      <c r="D724">
        <v>2</v>
      </c>
    </row>
    <row r="725" spans="1:4">
      <c r="A725" s="21" t="s">
        <v>9</v>
      </c>
      <c r="B725" s="21">
        <v>2020</v>
      </c>
      <c r="C725" t="s">
        <v>120</v>
      </c>
      <c r="D725">
        <v>1</v>
      </c>
    </row>
    <row r="726" spans="1:4">
      <c r="A726" s="21" t="s">
        <v>9</v>
      </c>
      <c r="B726" s="21">
        <v>2021</v>
      </c>
      <c r="C726" t="s">
        <v>120</v>
      </c>
      <c r="D726">
        <v>1</v>
      </c>
    </row>
    <row r="727" spans="1:4">
      <c r="A727" s="21" t="s">
        <v>9</v>
      </c>
      <c r="B727" s="21">
        <v>2023</v>
      </c>
      <c r="C727" t="s">
        <v>120</v>
      </c>
      <c r="D727">
        <v>1</v>
      </c>
    </row>
    <row r="728" spans="1:4">
      <c r="A728" s="21" t="s">
        <v>9</v>
      </c>
      <c r="B728" s="21" t="s">
        <v>248</v>
      </c>
      <c r="C728" t="s">
        <v>120</v>
      </c>
      <c r="D728">
        <v>1</v>
      </c>
    </row>
    <row r="729" spans="1:4">
      <c r="A729" s="21" t="s">
        <v>9</v>
      </c>
      <c r="B729" s="21" t="s">
        <v>248</v>
      </c>
      <c r="C729" t="s">
        <v>119</v>
      </c>
      <c r="D729">
        <v>1</v>
      </c>
    </row>
    <row r="730" spans="1:4">
      <c r="A730" s="21" t="s">
        <v>83</v>
      </c>
      <c r="B730" s="21">
        <v>2021</v>
      </c>
      <c r="C730" t="s">
        <v>119</v>
      </c>
      <c r="D730">
        <v>1</v>
      </c>
    </row>
    <row r="731" spans="1:4">
      <c r="A731" s="21" t="s">
        <v>83</v>
      </c>
      <c r="B731" s="21">
        <v>2023</v>
      </c>
      <c r="C731" t="s">
        <v>119</v>
      </c>
      <c r="D731">
        <v>1</v>
      </c>
    </row>
    <row r="732" spans="1:4">
      <c r="A732" s="21" t="s">
        <v>83</v>
      </c>
      <c r="B732" s="21" t="s">
        <v>243</v>
      </c>
      <c r="C732" t="s">
        <v>120</v>
      </c>
      <c r="D732">
        <v>1</v>
      </c>
    </row>
    <row r="733" spans="1:4">
      <c r="A733" s="21" t="s">
        <v>252</v>
      </c>
      <c r="B733" s="21" t="s">
        <v>248</v>
      </c>
      <c r="C733" t="s">
        <v>119</v>
      </c>
      <c r="D733">
        <v>1</v>
      </c>
    </row>
    <row r="734" spans="1:4">
      <c r="A734" s="21" t="s">
        <v>253</v>
      </c>
      <c r="B734" s="21" t="s">
        <v>248</v>
      </c>
      <c r="C734" t="s">
        <v>119</v>
      </c>
      <c r="D734">
        <v>1</v>
      </c>
    </row>
    <row r="735" spans="1:4">
      <c r="A735" s="21" t="s">
        <v>258</v>
      </c>
      <c r="B735" s="21" t="s">
        <v>248</v>
      </c>
      <c r="C735" t="s">
        <v>119</v>
      </c>
      <c r="D735">
        <v>1</v>
      </c>
    </row>
    <row r="736" spans="1:4">
      <c r="A736" s="21" t="s">
        <v>262</v>
      </c>
      <c r="B736" s="21" t="s">
        <v>248</v>
      </c>
      <c r="C736" t="s">
        <v>119</v>
      </c>
      <c r="D736">
        <v>1</v>
      </c>
    </row>
    <row r="738" spans="1:2" ht="15">
      <c r="A738" s="9" t="s">
        <v>136</v>
      </c>
      <c r="B738" s="9" t="s">
        <v>144</v>
      </c>
    </row>
    <row r="739" spans="1:2" ht="15">
      <c r="A739" s="9" t="s">
        <v>145</v>
      </c>
      <c r="B739" s="9" t="s">
        <v>147</v>
      </c>
    </row>
    <row r="740" spans="1:2" ht="15">
      <c r="A740" s="9" t="s">
        <v>124</v>
      </c>
      <c r="B740" s="9" t="s">
        <v>263</v>
      </c>
    </row>
    <row r="741" spans="1:2" ht="15">
      <c r="A741" s="9" t="s">
        <v>133</v>
      </c>
      <c r="B741" s="9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DE7B-6408-4FE0-AF9E-0BF7EE25AEC0}">
  <dimension ref="A1:B9"/>
  <sheetViews>
    <sheetView workbookViewId="0">
      <selection activeCell="B2" sqref="B2:B3"/>
    </sheetView>
  </sheetViews>
  <sheetFormatPr baseColWidth="10" defaultRowHeight="14.25"/>
  <sheetData>
    <row r="1" spans="1:2">
      <c r="A1" s="4" t="s">
        <v>148</v>
      </c>
      <c r="B1" s="10" t="s">
        <v>149</v>
      </c>
    </row>
    <row r="2" spans="1:2">
      <c r="A2" s="4" t="s">
        <v>120</v>
      </c>
      <c r="B2" s="4">
        <v>1938</v>
      </c>
    </row>
    <row r="3" spans="1:2">
      <c r="A3" s="4" t="s">
        <v>119</v>
      </c>
      <c r="B3" s="4">
        <v>1649</v>
      </c>
    </row>
    <row r="5" spans="1:2" ht="15">
      <c r="A5" s="9" t="s">
        <v>145</v>
      </c>
      <c r="B5" s="9" t="s">
        <v>151</v>
      </c>
    </row>
    <row r="6" spans="1:2" ht="15">
      <c r="A6" s="9" t="s">
        <v>124</v>
      </c>
      <c r="B6" s="9" t="s">
        <v>259</v>
      </c>
    </row>
    <row r="7" spans="1:2" ht="15">
      <c r="A7" s="9" t="s">
        <v>133</v>
      </c>
      <c r="B7" s="9" t="s">
        <v>146</v>
      </c>
    </row>
    <row r="9" spans="1:2">
      <c r="A9" t="s">
        <v>136</v>
      </c>
      <c r="B9" t="s">
        <v>150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8672-1F4F-403B-A961-82794B5A851E}">
  <dimension ref="A1:F20"/>
  <sheetViews>
    <sheetView topLeftCell="A4" workbookViewId="0">
      <selection activeCell="E13" sqref="E13"/>
    </sheetView>
  </sheetViews>
  <sheetFormatPr baseColWidth="10" defaultRowHeight="14.25"/>
  <cols>
    <col min="2" max="2" width="20.75" customWidth="1"/>
  </cols>
  <sheetData>
    <row r="1" spans="1:6" ht="15">
      <c r="A1" s="11" t="s">
        <v>110</v>
      </c>
      <c r="B1" s="11" t="s">
        <v>154</v>
      </c>
      <c r="C1" s="2" t="s">
        <v>153</v>
      </c>
      <c r="D1" s="2" t="s">
        <v>152</v>
      </c>
      <c r="E1" s="11" t="s">
        <v>117</v>
      </c>
    </row>
    <row r="2" spans="1:6" ht="15">
      <c r="A2" s="3">
        <v>2020</v>
      </c>
      <c r="B2" s="12" t="s">
        <v>155</v>
      </c>
      <c r="C2" s="4">
        <v>309</v>
      </c>
      <c r="D2" s="4">
        <v>2</v>
      </c>
      <c r="E2" s="4">
        <f>SUM(C2:D2)</f>
        <v>311</v>
      </c>
      <c r="F2">
        <f>C2+C3</f>
        <v>461</v>
      </c>
    </row>
    <row r="3" spans="1:6" ht="15">
      <c r="A3" s="3">
        <v>2020</v>
      </c>
      <c r="B3" s="12" t="s">
        <v>156</v>
      </c>
      <c r="C3" s="4">
        <v>152</v>
      </c>
      <c r="D3" s="4"/>
      <c r="E3" s="4">
        <f t="shared" ref="E3:E13" si="0">SUM(C3:D3)</f>
        <v>152</v>
      </c>
    </row>
    <row r="4" spans="1:6" ht="15">
      <c r="A4" s="3">
        <v>2021</v>
      </c>
      <c r="B4" s="12" t="s">
        <v>155</v>
      </c>
      <c r="C4" s="4">
        <v>98</v>
      </c>
      <c r="D4" s="4">
        <v>4</v>
      </c>
      <c r="E4" s="4">
        <f t="shared" si="0"/>
        <v>102</v>
      </c>
      <c r="F4">
        <f>C4+C5</f>
        <v>297</v>
      </c>
    </row>
    <row r="5" spans="1:6" ht="15">
      <c r="A5" s="3">
        <v>2021</v>
      </c>
      <c r="B5" s="12" t="s">
        <v>156</v>
      </c>
      <c r="C5" s="4">
        <v>199</v>
      </c>
      <c r="D5" s="4">
        <v>1</v>
      </c>
      <c r="E5" s="4">
        <f t="shared" si="0"/>
        <v>200</v>
      </c>
    </row>
    <row r="6" spans="1:6" ht="15">
      <c r="A6" s="3">
        <v>2022</v>
      </c>
      <c r="B6" s="12" t="s">
        <v>155</v>
      </c>
      <c r="C6" s="4">
        <v>398</v>
      </c>
      <c r="D6" s="4"/>
      <c r="E6" s="4">
        <f t="shared" si="0"/>
        <v>398</v>
      </c>
      <c r="F6">
        <f>C6+C7</f>
        <v>725</v>
      </c>
    </row>
    <row r="7" spans="1:6" ht="15">
      <c r="A7" s="3">
        <v>2022</v>
      </c>
      <c r="B7" s="12" t="s">
        <v>156</v>
      </c>
      <c r="C7" s="4">
        <v>327</v>
      </c>
      <c r="D7" s="4">
        <v>1</v>
      </c>
      <c r="E7" s="4">
        <f t="shared" si="0"/>
        <v>328</v>
      </c>
    </row>
    <row r="8" spans="1:6" ht="15">
      <c r="A8" s="3">
        <v>2023</v>
      </c>
      <c r="B8" s="12" t="s">
        <v>155</v>
      </c>
      <c r="C8" s="4">
        <v>371</v>
      </c>
      <c r="D8" s="4">
        <v>2</v>
      </c>
      <c r="E8" s="4">
        <f t="shared" si="0"/>
        <v>373</v>
      </c>
      <c r="F8">
        <f>C8+C9</f>
        <v>920</v>
      </c>
    </row>
    <row r="9" spans="1:6" ht="15">
      <c r="A9" s="3">
        <v>2023</v>
      </c>
      <c r="B9" s="12" t="s">
        <v>156</v>
      </c>
      <c r="C9" s="4">
        <v>549</v>
      </c>
      <c r="D9" s="4"/>
      <c r="E9" s="4">
        <f t="shared" si="0"/>
        <v>549</v>
      </c>
    </row>
    <row r="10" spans="1:6" ht="15">
      <c r="A10" s="3">
        <v>2024</v>
      </c>
      <c r="B10" s="17" t="s">
        <v>155</v>
      </c>
      <c r="C10" s="4">
        <v>371</v>
      </c>
      <c r="D10" s="4"/>
      <c r="E10" s="4">
        <f t="shared" si="0"/>
        <v>371</v>
      </c>
      <c r="F10">
        <f>C10+C11</f>
        <v>716</v>
      </c>
    </row>
    <row r="11" spans="1:6" ht="15">
      <c r="A11" s="3">
        <v>2024</v>
      </c>
      <c r="B11" s="17" t="s">
        <v>156</v>
      </c>
      <c r="C11" s="4">
        <v>345</v>
      </c>
      <c r="D11" s="4"/>
      <c r="E11" s="4">
        <f t="shared" si="0"/>
        <v>345</v>
      </c>
    </row>
    <row r="12" spans="1:6" ht="15">
      <c r="A12" s="3">
        <v>2025</v>
      </c>
      <c r="B12" s="17" t="s">
        <v>155</v>
      </c>
      <c r="C12" s="4">
        <v>458</v>
      </c>
      <c r="D12" s="4"/>
      <c r="E12" s="4">
        <f t="shared" si="0"/>
        <v>458</v>
      </c>
    </row>
    <row r="13" spans="1:6" ht="15">
      <c r="A13" s="3" t="s">
        <v>118</v>
      </c>
      <c r="B13" s="3"/>
      <c r="C13" s="4">
        <f>SUM(C2:C12)</f>
        <v>3577</v>
      </c>
      <c r="D13" s="4">
        <f>SUM(D2:D12)</f>
        <v>10</v>
      </c>
      <c r="E13" s="4">
        <f t="shared" si="0"/>
        <v>3587</v>
      </c>
    </row>
    <row r="15" spans="1:6" ht="15">
      <c r="A15" s="9" t="s">
        <v>125</v>
      </c>
      <c r="B15" s="9" t="s">
        <v>217</v>
      </c>
      <c r="C15" s="9"/>
    </row>
    <row r="16" spans="1:6" ht="15">
      <c r="A16" s="9" t="s">
        <v>124</v>
      </c>
      <c r="B16" s="9" t="s">
        <v>250</v>
      </c>
      <c r="C16" s="9"/>
    </row>
    <row r="17" spans="1:3" ht="15">
      <c r="A17" s="9" t="s">
        <v>133</v>
      </c>
      <c r="B17" s="9" t="s">
        <v>157</v>
      </c>
      <c r="C17" s="9"/>
    </row>
    <row r="18" spans="1:3" ht="15">
      <c r="A18" s="9" t="s">
        <v>134</v>
      </c>
      <c r="B18" s="9" t="s">
        <v>135</v>
      </c>
      <c r="C18" s="9"/>
    </row>
    <row r="19" spans="1:3" ht="15">
      <c r="A19" s="9"/>
      <c r="B19" s="9"/>
      <c r="C19" s="9"/>
    </row>
    <row r="20" spans="1:3" ht="15">
      <c r="A20" s="9" t="s">
        <v>136</v>
      </c>
      <c r="B20" s="9" t="s">
        <v>137</v>
      </c>
      <c r="C20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8B81-2C05-4A9F-8326-F5F006B08D91}">
  <dimension ref="A1:BN9"/>
  <sheetViews>
    <sheetView tabSelected="1" workbookViewId="0">
      <selection activeCell="G8" sqref="G8"/>
    </sheetView>
  </sheetViews>
  <sheetFormatPr baseColWidth="10" defaultRowHeight="14.25"/>
  <sheetData>
    <row r="1" spans="1:66" ht="15">
      <c r="A1" s="14" t="s">
        <v>158</v>
      </c>
      <c r="B1" s="14" t="s">
        <v>159</v>
      </c>
      <c r="C1" s="14" t="s">
        <v>160</v>
      </c>
      <c r="D1" s="14" t="s">
        <v>161</v>
      </c>
      <c r="E1" s="14" t="s">
        <v>162</v>
      </c>
      <c r="F1" s="14" t="s">
        <v>163</v>
      </c>
      <c r="G1" s="14" t="s">
        <v>164</v>
      </c>
      <c r="H1" s="14" t="s">
        <v>165</v>
      </c>
      <c r="I1" s="14" t="s">
        <v>166</v>
      </c>
      <c r="J1" s="14" t="s">
        <v>167</v>
      </c>
      <c r="K1" s="14" t="s">
        <v>168</v>
      </c>
      <c r="L1" s="14" t="s">
        <v>169</v>
      </c>
      <c r="M1" s="14" t="s">
        <v>170</v>
      </c>
      <c r="N1" s="14" t="s">
        <v>171</v>
      </c>
      <c r="O1" s="14" t="s">
        <v>172</v>
      </c>
      <c r="P1" s="14" t="s">
        <v>173</v>
      </c>
      <c r="Q1" s="14" t="s">
        <v>174</v>
      </c>
      <c r="R1" s="14" t="s">
        <v>175</v>
      </c>
      <c r="S1" s="14" t="s">
        <v>176</v>
      </c>
      <c r="T1" s="14" t="s">
        <v>177</v>
      </c>
      <c r="U1" s="14" t="s">
        <v>178</v>
      </c>
      <c r="V1" s="14" t="s">
        <v>179</v>
      </c>
      <c r="W1" s="14" t="s">
        <v>180</v>
      </c>
      <c r="X1" s="14" t="s">
        <v>181</v>
      </c>
      <c r="Y1" s="14" t="s">
        <v>182</v>
      </c>
      <c r="Z1" s="14" t="s">
        <v>183</v>
      </c>
      <c r="AA1" s="14" t="s">
        <v>184</v>
      </c>
      <c r="AB1" s="14" t="s">
        <v>185</v>
      </c>
      <c r="AC1" s="14" t="s">
        <v>186</v>
      </c>
      <c r="AD1" s="14" t="s">
        <v>187</v>
      </c>
      <c r="AE1" s="14" t="s">
        <v>188</v>
      </c>
      <c r="AF1" s="14" t="s">
        <v>189</v>
      </c>
      <c r="AG1" s="14" t="s">
        <v>190</v>
      </c>
      <c r="AH1" s="14" t="s">
        <v>191</v>
      </c>
      <c r="AI1" s="14" t="s">
        <v>192</v>
      </c>
      <c r="AJ1" s="14" t="s">
        <v>193</v>
      </c>
      <c r="AK1" s="14" t="s">
        <v>194</v>
      </c>
      <c r="AL1" s="14" t="s">
        <v>195</v>
      </c>
      <c r="AM1" s="14" t="s">
        <v>196</v>
      </c>
      <c r="AN1" s="14" t="s">
        <v>197</v>
      </c>
      <c r="AO1" s="14" t="s">
        <v>198</v>
      </c>
      <c r="AP1" s="14" t="s">
        <v>199</v>
      </c>
      <c r="AQ1" s="14" t="s">
        <v>200</v>
      </c>
      <c r="AR1" s="14" t="s">
        <v>201</v>
      </c>
      <c r="AS1" s="14" t="s">
        <v>202</v>
      </c>
      <c r="AT1" s="14" t="s">
        <v>203</v>
      </c>
      <c r="AU1" s="14" t="s">
        <v>204</v>
      </c>
      <c r="AV1" s="14" t="s">
        <v>205</v>
      </c>
      <c r="AW1" s="14" t="s">
        <v>225</v>
      </c>
      <c r="AX1" s="14" t="s">
        <v>226</v>
      </c>
      <c r="AY1" s="14" t="s">
        <v>227</v>
      </c>
      <c r="AZ1" s="14" t="s">
        <v>228</v>
      </c>
      <c r="BA1" s="14" t="s">
        <v>229</v>
      </c>
      <c r="BB1" s="14" t="s">
        <v>230</v>
      </c>
      <c r="BC1" s="14" t="s">
        <v>231</v>
      </c>
      <c r="BD1" s="14" t="s">
        <v>232</v>
      </c>
      <c r="BE1" s="14" t="s">
        <v>233</v>
      </c>
      <c r="BF1" s="14" t="s">
        <v>234</v>
      </c>
      <c r="BG1" s="14" t="s">
        <v>235</v>
      </c>
      <c r="BH1" s="14" t="s">
        <v>236</v>
      </c>
      <c r="BI1" s="14" t="s">
        <v>237</v>
      </c>
      <c r="BJ1" s="14" t="s">
        <v>238</v>
      </c>
      <c r="BK1" s="14" t="s">
        <v>239</v>
      </c>
      <c r="BL1" s="14" t="s">
        <v>240</v>
      </c>
      <c r="BM1" s="14" t="s">
        <v>241</v>
      </c>
      <c r="BN1" s="14" t="s">
        <v>242</v>
      </c>
    </row>
    <row r="2" spans="1:66" ht="15">
      <c r="A2" s="13">
        <v>69</v>
      </c>
      <c r="B2" s="13">
        <v>103</v>
      </c>
      <c r="C2" s="13">
        <v>62</v>
      </c>
      <c r="D2" s="13">
        <v>30</v>
      </c>
      <c r="E2" s="13">
        <v>23</v>
      </c>
      <c r="F2" s="13">
        <v>24</v>
      </c>
      <c r="G2" s="13">
        <v>17</v>
      </c>
      <c r="H2" s="13">
        <v>24</v>
      </c>
      <c r="I2" s="13">
        <v>20</v>
      </c>
      <c r="J2" s="13">
        <v>23</v>
      </c>
      <c r="K2" s="13">
        <v>25</v>
      </c>
      <c r="L2" s="13">
        <v>43</v>
      </c>
      <c r="M2" s="13">
        <v>12</v>
      </c>
      <c r="N2" s="13">
        <v>20</v>
      </c>
      <c r="O2" s="13">
        <v>27</v>
      </c>
      <c r="P2" s="13">
        <v>24</v>
      </c>
      <c r="Q2" s="13">
        <v>11</v>
      </c>
      <c r="R2" s="13">
        <v>8</v>
      </c>
      <c r="S2" s="13">
        <v>27</v>
      </c>
      <c r="T2" s="13">
        <v>19</v>
      </c>
      <c r="U2" s="13">
        <v>45</v>
      </c>
      <c r="V2" s="13">
        <v>39</v>
      </c>
      <c r="W2" s="13">
        <v>33</v>
      </c>
      <c r="X2" s="13">
        <v>37</v>
      </c>
      <c r="Y2" s="13">
        <v>35</v>
      </c>
      <c r="Z2" s="13">
        <v>27</v>
      </c>
      <c r="AA2" s="13">
        <v>55</v>
      </c>
      <c r="AB2" s="13">
        <v>104</v>
      </c>
      <c r="AC2" s="13">
        <v>111</v>
      </c>
      <c r="AD2" s="13">
        <v>66</v>
      </c>
      <c r="AE2" s="13">
        <v>58</v>
      </c>
      <c r="AF2" s="13">
        <v>64</v>
      </c>
      <c r="AG2" s="13">
        <v>55</v>
      </c>
      <c r="AH2" s="13">
        <v>57</v>
      </c>
      <c r="AI2" s="13">
        <v>64</v>
      </c>
      <c r="AJ2" s="13">
        <v>30</v>
      </c>
      <c r="AK2" s="13">
        <v>22</v>
      </c>
      <c r="AL2" s="13">
        <v>51</v>
      </c>
      <c r="AM2" s="13">
        <v>59</v>
      </c>
      <c r="AN2" s="13">
        <v>47</v>
      </c>
      <c r="AO2" s="13">
        <v>93</v>
      </c>
      <c r="AP2" s="13">
        <v>101</v>
      </c>
      <c r="AQ2" s="13">
        <v>81</v>
      </c>
      <c r="AR2" s="13">
        <v>104</v>
      </c>
      <c r="AS2" s="13">
        <v>98</v>
      </c>
      <c r="AT2" s="13">
        <v>141</v>
      </c>
      <c r="AU2" s="13">
        <v>66</v>
      </c>
      <c r="AV2" s="13">
        <v>59</v>
      </c>
      <c r="AW2" s="18">
        <v>30</v>
      </c>
      <c r="AX2" s="18">
        <v>38</v>
      </c>
      <c r="AY2" s="18">
        <v>73</v>
      </c>
      <c r="AZ2" s="18">
        <v>96</v>
      </c>
      <c r="BA2" s="18">
        <v>67</v>
      </c>
      <c r="BB2" s="18">
        <v>67</v>
      </c>
      <c r="BC2" s="18">
        <v>62</v>
      </c>
      <c r="BD2" s="18">
        <v>70</v>
      </c>
      <c r="BE2" s="18">
        <v>63</v>
      </c>
      <c r="BF2" s="18">
        <v>54</v>
      </c>
      <c r="BG2" s="18">
        <v>53</v>
      </c>
      <c r="BH2" s="18">
        <v>43</v>
      </c>
      <c r="BI2" s="18">
        <v>36</v>
      </c>
      <c r="BJ2" s="18">
        <v>70</v>
      </c>
      <c r="BK2" s="18">
        <v>73</v>
      </c>
      <c r="BL2" s="18">
        <v>87</v>
      </c>
      <c r="BM2" s="18">
        <v>103</v>
      </c>
      <c r="BN2" s="18">
        <v>89</v>
      </c>
    </row>
    <row r="4" spans="1:66" ht="15">
      <c r="A4" s="9" t="s">
        <v>145</v>
      </c>
      <c r="B4" s="9" t="s">
        <v>218</v>
      </c>
      <c r="C4" s="9"/>
      <c r="D4" s="9"/>
      <c r="E4" s="9"/>
      <c r="F4" s="9"/>
      <c r="G4" s="9"/>
      <c r="H4" s="9"/>
      <c r="I4" s="9"/>
    </row>
    <row r="5" spans="1:66" ht="15">
      <c r="A5" s="9" t="s">
        <v>124</v>
      </c>
      <c r="B5" s="9" t="s">
        <v>219</v>
      </c>
      <c r="C5" s="9"/>
      <c r="D5" s="9"/>
      <c r="E5" s="9"/>
      <c r="F5" s="9"/>
      <c r="G5" s="9"/>
      <c r="H5" s="9"/>
      <c r="I5" s="9"/>
    </row>
    <row r="6" spans="1:66" ht="15">
      <c r="A6" s="9" t="s">
        <v>133</v>
      </c>
      <c r="B6" s="9" t="s">
        <v>146</v>
      </c>
      <c r="C6" s="9"/>
      <c r="D6" s="9"/>
      <c r="E6" s="9"/>
      <c r="F6" s="9"/>
      <c r="G6" s="9"/>
      <c r="H6" s="9"/>
      <c r="I6" s="9"/>
    </row>
    <row r="7" spans="1:66" ht="15">
      <c r="A7" s="9" t="s">
        <v>134</v>
      </c>
      <c r="B7" s="9" t="s">
        <v>206</v>
      </c>
      <c r="C7" s="9"/>
      <c r="D7" s="9"/>
      <c r="E7" s="9"/>
      <c r="F7" s="9"/>
      <c r="G7" s="9"/>
      <c r="H7" s="9"/>
      <c r="I7" s="9"/>
    </row>
    <row r="9" spans="1:66">
      <c r="A9" t="s">
        <v>136</v>
      </c>
      <c r="B9" t="s">
        <v>207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7D40-017E-4F73-A28D-C80B7F4AC18F}">
  <dimension ref="A1:J20"/>
  <sheetViews>
    <sheetView topLeftCell="A4" workbookViewId="0">
      <selection activeCell="D9" sqref="D9"/>
    </sheetView>
  </sheetViews>
  <sheetFormatPr baseColWidth="10" defaultRowHeight="14.25"/>
  <cols>
    <col min="2" max="2" width="22.625" customWidth="1"/>
    <col min="8" max="8" width="15.75" customWidth="1"/>
    <col min="11" max="11" width="16" customWidth="1"/>
  </cols>
  <sheetData>
    <row r="1" spans="1:10" ht="15">
      <c r="A1" s="8" t="s">
        <v>110</v>
      </c>
      <c r="B1" s="8" t="s">
        <v>154</v>
      </c>
      <c r="C1" s="15" t="s">
        <v>208</v>
      </c>
      <c r="D1" s="15" t="s">
        <v>209</v>
      </c>
      <c r="E1" s="15" t="s">
        <v>210</v>
      </c>
      <c r="F1" s="15" t="s">
        <v>211</v>
      </c>
      <c r="G1" s="15" t="s">
        <v>212</v>
      </c>
      <c r="H1" s="15" t="s">
        <v>213</v>
      </c>
      <c r="I1" s="8" t="s">
        <v>117</v>
      </c>
      <c r="J1" s="19"/>
    </row>
    <row r="2" spans="1:10" ht="15">
      <c r="A2" s="3">
        <v>2020</v>
      </c>
      <c r="B2" s="12" t="s">
        <v>155</v>
      </c>
      <c r="C2" s="4">
        <v>2</v>
      </c>
      <c r="D2" s="4">
        <v>309</v>
      </c>
      <c r="E2" s="4"/>
      <c r="F2" s="4"/>
      <c r="G2" s="4"/>
      <c r="H2" s="4"/>
      <c r="I2" s="4">
        <f>SUM(C2:H2)</f>
        <v>311</v>
      </c>
    </row>
    <row r="3" spans="1:10" ht="15">
      <c r="A3" s="3">
        <v>2020</v>
      </c>
      <c r="B3" s="12" t="s">
        <v>156</v>
      </c>
      <c r="C3" s="4"/>
      <c r="D3" s="4">
        <v>151</v>
      </c>
      <c r="E3" s="4"/>
      <c r="F3" s="4">
        <v>1</v>
      </c>
      <c r="G3" s="4"/>
      <c r="H3" s="4"/>
      <c r="I3" s="4">
        <f t="shared" ref="I3:I9" si="0">SUM(C3:H3)</f>
        <v>152</v>
      </c>
    </row>
    <row r="4" spans="1:10" ht="15">
      <c r="A4" s="3">
        <v>2021</v>
      </c>
      <c r="B4" s="12" t="s">
        <v>155</v>
      </c>
      <c r="C4" s="4">
        <v>1</v>
      </c>
      <c r="D4" s="4">
        <v>100</v>
      </c>
      <c r="E4" s="4"/>
      <c r="F4" s="4">
        <v>1</v>
      </c>
      <c r="G4" s="4"/>
      <c r="H4" s="4"/>
      <c r="I4" s="4">
        <f t="shared" si="0"/>
        <v>102</v>
      </c>
    </row>
    <row r="5" spans="1:10" ht="15">
      <c r="A5" s="3">
        <v>2021</v>
      </c>
      <c r="B5" s="12" t="s">
        <v>156</v>
      </c>
      <c r="C5" s="4">
        <v>3</v>
      </c>
      <c r="D5" s="4">
        <v>195</v>
      </c>
      <c r="E5" s="4"/>
      <c r="F5" s="4">
        <v>1</v>
      </c>
      <c r="G5" s="4">
        <v>1</v>
      </c>
      <c r="H5" s="4"/>
      <c r="I5" s="4">
        <f t="shared" si="0"/>
        <v>200</v>
      </c>
    </row>
    <row r="6" spans="1:10" ht="15">
      <c r="A6" s="3">
        <v>2022</v>
      </c>
      <c r="B6" s="12" t="s">
        <v>155</v>
      </c>
      <c r="C6" s="4">
        <v>1</v>
      </c>
      <c r="D6" s="4">
        <v>395</v>
      </c>
      <c r="E6" s="4"/>
      <c r="F6" s="4"/>
      <c r="G6" s="4">
        <v>2</v>
      </c>
      <c r="H6" s="4"/>
      <c r="I6" s="4">
        <f t="shared" si="0"/>
        <v>398</v>
      </c>
    </row>
    <row r="7" spans="1:10" ht="15">
      <c r="A7" s="3">
        <v>2022</v>
      </c>
      <c r="B7" s="12" t="s">
        <v>156</v>
      </c>
      <c r="C7" s="4">
        <v>1</v>
      </c>
      <c r="D7" s="4">
        <v>323</v>
      </c>
      <c r="E7" s="4"/>
      <c r="F7" s="4"/>
      <c r="G7" s="4">
        <v>3</v>
      </c>
      <c r="H7" s="4">
        <v>1</v>
      </c>
      <c r="I7" s="4">
        <f t="shared" si="0"/>
        <v>328</v>
      </c>
    </row>
    <row r="8" spans="1:10" ht="15">
      <c r="A8" s="3">
        <v>2023</v>
      </c>
      <c r="B8" s="12" t="s">
        <v>155</v>
      </c>
      <c r="C8" s="4">
        <v>5</v>
      </c>
      <c r="D8" s="4">
        <v>366</v>
      </c>
      <c r="E8" s="4"/>
      <c r="F8" s="4"/>
      <c r="G8" s="4">
        <v>2</v>
      </c>
      <c r="H8" s="4"/>
      <c r="I8" s="4">
        <f t="shared" si="0"/>
        <v>373</v>
      </c>
      <c r="J8">
        <f>I8+I9</f>
        <v>922</v>
      </c>
    </row>
    <row r="9" spans="1:10" ht="15">
      <c r="A9" s="3">
        <v>2023</v>
      </c>
      <c r="B9" s="12" t="s">
        <v>156</v>
      </c>
      <c r="C9" s="4">
        <v>1</v>
      </c>
      <c r="D9" s="4">
        <v>545</v>
      </c>
      <c r="E9" s="4">
        <v>1</v>
      </c>
      <c r="F9" s="4"/>
      <c r="G9" s="4">
        <v>1</v>
      </c>
      <c r="H9" s="4">
        <v>1</v>
      </c>
      <c r="I9" s="4">
        <f t="shared" si="0"/>
        <v>549</v>
      </c>
    </row>
    <row r="10" spans="1:10" ht="15">
      <c r="A10" s="3">
        <v>2024</v>
      </c>
      <c r="B10" s="17" t="s">
        <v>155</v>
      </c>
      <c r="C10" s="4">
        <v>1</v>
      </c>
      <c r="D10" s="4">
        <v>368</v>
      </c>
      <c r="E10" s="4"/>
      <c r="F10" s="4">
        <v>1</v>
      </c>
      <c r="G10" s="4"/>
      <c r="H10" s="4">
        <v>1</v>
      </c>
      <c r="I10" s="4">
        <f>SUM(C10:H10)</f>
        <v>371</v>
      </c>
    </row>
    <row r="11" spans="1:10" ht="15">
      <c r="A11" s="3">
        <v>2024</v>
      </c>
      <c r="B11" s="17" t="s">
        <v>156</v>
      </c>
      <c r="C11" s="4">
        <v>1</v>
      </c>
      <c r="D11" s="4">
        <v>344</v>
      </c>
      <c r="E11" s="4"/>
      <c r="F11" s="4"/>
      <c r="G11" s="4"/>
      <c r="H11" s="4"/>
      <c r="I11" s="4">
        <f>SUM(C11:H11)</f>
        <v>345</v>
      </c>
    </row>
    <row r="12" spans="1:10" ht="15">
      <c r="A12" s="3">
        <v>2025</v>
      </c>
      <c r="B12" s="17" t="s">
        <v>155</v>
      </c>
      <c r="C12" s="4">
        <v>4</v>
      </c>
      <c r="D12" s="4">
        <v>453</v>
      </c>
      <c r="E12" s="4"/>
      <c r="F12" s="4"/>
      <c r="G12" s="4"/>
      <c r="H12" s="4">
        <v>1</v>
      </c>
      <c r="I12" s="4">
        <f>SUM(C12:H12)</f>
        <v>458</v>
      </c>
    </row>
    <row r="13" spans="1:10" ht="15">
      <c r="A13" s="3" t="s">
        <v>118</v>
      </c>
      <c r="B13" s="3"/>
      <c r="C13" s="4">
        <f t="shared" ref="C13:H13" si="1">SUM(C2:C12)</f>
        <v>20</v>
      </c>
      <c r="D13" s="4">
        <f t="shared" si="1"/>
        <v>3549</v>
      </c>
      <c r="E13" s="4">
        <f t="shared" si="1"/>
        <v>1</v>
      </c>
      <c r="F13" s="4">
        <f t="shared" si="1"/>
        <v>4</v>
      </c>
      <c r="G13" s="4">
        <f t="shared" si="1"/>
        <v>9</v>
      </c>
      <c r="H13" s="4">
        <f t="shared" si="1"/>
        <v>4</v>
      </c>
      <c r="I13" s="4">
        <f>SUM(C13:H13)</f>
        <v>3587</v>
      </c>
    </row>
    <row r="15" spans="1:10" ht="15">
      <c r="A15" s="9" t="s">
        <v>125</v>
      </c>
      <c r="B15" s="9" t="s">
        <v>224</v>
      </c>
      <c r="C15" s="9"/>
    </row>
    <row r="16" spans="1:10" ht="15">
      <c r="A16" s="9" t="s">
        <v>124</v>
      </c>
      <c r="B16" s="9" t="s">
        <v>223</v>
      </c>
      <c r="C16" s="9"/>
    </row>
    <row r="17" spans="1:3" ht="15">
      <c r="A17" s="9" t="s">
        <v>133</v>
      </c>
      <c r="B17" s="9" t="s">
        <v>214</v>
      </c>
      <c r="C17" s="9"/>
    </row>
    <row r="18" spans="1:3" ht="15">
      <c r="A18" s="9" t="s">
        <v>134</v>
      </c>
      <c r="B18" s="9" t="s">
        <v>135</v>
      </c>
      <c r="C18" s="9"/>
    </row>
    <row r="20" spans="1:3" ht="15">
      <c r="A20" s="9" t="s">
        <v>136</v>
      </c>
      <c r="B20" s="9" t="s">
        <v>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Data0</vt:lpstr>
      <vt:lpstr>Data1</vt:lpstr>
      <vt:lpstr>Data2</vt:lpstr>
      <vt:lpstr>Data3</vt:lpstr>
      <vt:lpstr>Data4</vt:lpstr>
      <vt:lpstr>Data5</vt:lpstr>
      <vt:lpstr>Data6</vt:lpstr>
      <vt:lpstr>suma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flechas mesa</dc:creator>
  <cp:lastModifiedBy>RED DE OBSERVATORIOS</cp:lastModifiedBy>
  <dcterms:created xsi:type="dcterms:W3CDTF">2024-11-19T15:24:38Z</dcterms:created>
  <dcterms:modified xsi:type="dcterms:W3CDTF">2025-10-16T16:36:49Z</dcterms:modified>
</cp:coreProperties>
</file>