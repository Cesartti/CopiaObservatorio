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EB4EC3C0-BBCD-470B-BDAE-70C36D49A3B8}" xr6:coauthVersionLast="47" xr6:coauthVersionMax="47" xr10:uidLastSave="{00000000-0000-0000-0000-000000000000}"/>
  <bookViews>
    <workbookView xWindow="20370" yWindow="33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6" r:id="rId4"/>
    <sheet name="data4" sheetId="8" r:id="rId5"/>
    <sheet name="data5" sheetId="10" r:id="rId6"/>
  </sheets>
  <externalReferences>
    <externalReference r:id="rId7"/>
  </externalReferences>
  <definedNames>
    <definedName name="_xlnm._FilterDatabase" localSheetId="2" hidden="1">data2!$A$1:$E$24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E24" i="3" l="1"/>
  <c r="E23" i="3"/>
  <c r="E2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<sst xmlns="http://schemas.openxmlformats.org/spreadsheetml/2006/main" count="194" uniqueCount="137">
  <si>
    <t>Categoría:</t>
  </si>
  <si>
    <t>Hechos y derechos</t>
  </si>
  <si>
    <t>Descripción:</t>
  </si>
  <si>
    <t>Mide el número de casos Feminicidos de Boyacá</t>
  </si>
  <si>
    <t>Titulo:</t>
  </si>
  <si>
    <t>Número de casos de Feminicidios</t>
  </si>
  <si>
    <t>Subcategoría:</t>
  </si>
  <si>
    <t>Lesiones fatales</t>
  </si>
  <si>
    <t>Etiquetas:</t>
  </si>
  <si>
    <t>Fuentes:</t>
  </si>
  <si>
    <t>Base de datos entregada por Fiscalia</t>
  </si>
  <si>
    <t>Año</t>
  </si>
  <si>
    <t>Juventud (18 a 28 años)</t>
  </si>
  <si>
    <t>Adultez (29 a 59 años)</t>
  </si>
  <si>
    <t xml:space="preserve">Número de casos de Feminicidios por ciclo de vida </t>
  </si>
  <si>
    <t>Vertical:</t>
  </si>
  <si>
    <t>Ciclo de vida</t>
  </si>
  <si>
    <t>Horizontal:</t>
  </si>
  <si>
    <t>Tipo:</t>
  </si>
  <si>
    <t>Gráfica de columnas</t>
  </si>
  <si>
    <t>Código</t>
  </si>
  <si>
    <t>Rango de edad</t>
  </si>
  <si>
    <t>Casos</t>
  </si>
  <si>
    <t>Mapa</t>
  </si>
  <si>
    <t>Título:</t>
  </si>
  <si>
    <t>Número de casos de feminicidios en cada municipio</t>
  </si>
  <si>
    <t>Número de casos</t>
  </si>
  <si>
    <t>Lugar de ocurrencia</t>
  </si>
  <si>
    <t>RESIDENCIA</t>
  </si>
  <si>
    <t>VIA PUBLICA</t>
  </si>
  <si>
    <t>VEHICULO</t>
  </si>
  <si>
    <t>SIN ESTABLECR</t>
  </si>
  <si>
    <t>PENITENCIARIA EL BARNE</t>
  </si>
  <si>
    <t>VIVIENDA</t>
  </si>
  <si>
    <t>CAMPO ABIERTO</t>
  </si>
  <si>
    <t>SECRETARIA DE GOBIERNO</t>
  </si>
  <si>
    <t>Número de casos de feminicidio de acuerdo al lugar de ocurrencia</t>
  </si>
  <si>
    <t>Descripcion:</t>
  </si>
  <si>
    <t>Se presenta el número de casos por año de feminicidios</t>
  </si>
  <si>
    <t>Mes</t>
  </si>
  <si>
    <t>Gráfico linea</t>
  </si>
  <si>
    <t>RELACIÓN DEL VICTIMARIO</t>
  </si>
  <si>
    <t>COMPAÑERO SENTIMENTAL</t>
  </si>
  <si>
    <t>NOVIO</t>
  </si>
  <si>
    <t>EX COMPAÑERO SENTIMENTAL</t>
  </si>
  <si>
    <t>TIO</t>
  </si>
  <si>
    <t>EX NOVIO</t>
  </si>
  <si>
    <t>Número de casos de feminicidio clasificados por la relación con el victimario</t>
  </si>
  <si>
    <t>Relación con el victimario</t>
  </si>
  <si>
    <t>Periodo</t>
  </si>
  <si>
    <t>número de casos</t>
  </si>
  <si>
    <t>feminicidios</t>
  </si>
  <si>
    <t>Adolescencia (12 a 17 años)</t>
  </si>
  <si>
    <t>FINCA</t>
  </si>
  <si>
    <t>Casos presentados de feminicidios por año en Boyacá</t>
  </si>
  <si>
    <t>CONOCIDO</t>
  </si>
  <si>
    <t>POR ESTABLECER</t>
  </si>
  <si>
    <t>Total enero 2020 a Junio 2025</t>
  </si>
  <si>
    <t>Infancia (6 a 11 años)</t>
  </si>
  <si>
    <t>La gráfica muestra el número de casos de feminicidios por rango de edades desde el año 2020 hasta Junio 2025</t>
  </si>
  <si>
    <t>Enero 2020 a Junio  2025</t>
  </si>
  <si>
    <t>Número de casos de feminicidios por ciclo de vida y municipio Desde 2024 a Junio 2025</t>
  </si>
  <si>
    <t>ene a jun</t>
  </si>
  <si>
    <t>jul a dic</t>
  </si>
  <si>
    <t>Infancia (06 a 11 años)</t>
  </si>
  <si>
    <t>NO REPORTA</t>
  </si>
  <si>
    <t>La gráfica muestra los casos de feminicidio de acuerdo al lugar de ocurrencia desde el año enero 2020 hasta junio de 2025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</si>
  <si>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</si>
  <si>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</si>
  <si>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</si>
  <si>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</si>
  <si>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</si>
  <si>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</si>
  <si>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</si>
  <si>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</si>
  <si>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</si>
  <si>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</si>
  <si>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</si>
  <si>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</si>
  <si>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</si>
  <si>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</si>
  <si>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</si>
  <si>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</si>
  <si>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</si>
  <si>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</si>
  <si>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</si>
  <si>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</si>
  <si>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</si>
  <si>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</si>
  <si>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</si>
  <si>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</si>
  <si>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</si>
  <si>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</si>
  <si>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</si>
  <si>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</si>
  <si>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</si>
  <si>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</si>
  <si>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</si>
  <si>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</si>
  <si>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</si>
  <si>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</si>
  <si>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</si>
  <si>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</si>
  <si>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</si>
  <si>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</si>
  <si>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</si>
  <si>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</si>
  <si>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</si>
  <si>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</si>
  <si>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</si>
  <si>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</si>
  <si>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</si>
  <si>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</si>
  <si>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</si>
  <si>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</si>
  <si>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</si>
  <si>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</si>
  <si>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</si>
  <si>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</si>
  <si>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</si>
  <si>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</si>
  <si>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</si>
  <si>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</si>
  <si>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</si>
  <si>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</si>
  <si>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</si>
  <si>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</si>
  <si>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</si>
  <si>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</si>
  <si>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</si>
  <si>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</si>
  <si>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</si>
  <si>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</si>
  <si>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Enero 2020 a junio 2025</t>
  </si>
  <si>
    <t>NINGUNA</t>
  </si>
  <si>
    <t>Total enero 2020 a junio 2025</t>
  </si>
  <si>
    <t>La gráfica muestra los casos de feminicidio de acuerdo a la relación con el victimario desde enero 2020 hasta 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</si>
</sst>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5" fillId="0" borderId="1" xfId="0" applyFont="1" applyBorder="1"/>
    <xf numFmtId="0" fontId="6" fillId="0" borderId="0" xfId="0" applyFont="1"/>
    <xf numFmtId="49" fontId="0" fillId="0" borderId="0" xfId="0" applyNumberFormat="1"/>
    <xf numFmtId="0" fontId="4" fillId="0" borderId="2" xfId="0" applyFont="1" applyBorder="1"/>
    <xf numFmtId="0" fontId="7" fillId="0" borderId="2" xfId="0" applyFont="1" applyBorder="1"/>
    <xf numFmtId="0" fontId="4" fillId="0" borderId="2" xfId="0" applyFont="1" applyBorder="1" applyAlignment="1">
      <alignment horizontal="right"/>
    </xf>
    <xf numFmtId="0" fontId="8" fillId="2" borderId="3" xfId="0" applyFont="1" applyFill="1" applyBorder="1"/>
    <xf numFmtId="0" fontId="9" fillId="0" borderId="2" xfId="0" applyFont="1" applyBorder="1"/>
    <xf numFmtId="0" fontId="10" fillId="0" borderId="2" xfId="0" applyFont="1" applyBorder="1"/>
    <xf numFmtId="0" fontId="11" fillId="0" borderId="2" xfId="0" applyFont="1" applyBorder="1"/>
    <xf numFmtId="0" fontId="8" fillId="2" borderId="0" xfId="0" applyFont="1" applyFill="1"/>
    <xf numFmtId="0" fontId="5" fillId="0" borderId="0" xfId="0" applyFont="1" applyBorder="1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/>
              <a:t>NÚMERO DE CASOS DE FEMINICIDIO DE ACUERDO AL LUGAR DE OCURRENCIA</a:t>
            </a:r>
            <a:endParaRPr lang="es-CO" sz="1400" b="1" baseline="0"/>
          </a:p>
          <a:p>
            <a:pPr>
              <a:defRPr/>
            </a:pPr>
            <a:r>
              <a:rPr lang="es-CO" sz="1400" b="1" baseline="0"/>
              <a:t>enero 2020 a Junio 2025</a:t>
            </a:r>
            <a:endParaRPr lang="es-CO" sz="1400" b="1"/>
          </a:p>
        </c:rich>
      </c:tx>
      <c:layout>
        <c:manualLayout>
          <c:xMode val="edge"/>
          <c:yMode val="edge"/>
          <c:x val="0.1523279764894678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data3!$A$2</c:f>
              <c:strCache>
                <c:ptCount val="1"/>
                <c:pt idx="0">
                  <c:v>RESIDENCIA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data3!$B$1</c:f>
              <c:strCache>
                <c:ptCount val="1"/>
                <c:pt idx="0">
                  <c:v>Enero 2020 a Junio  2025</c:v>
                </c:pt>
              </c:strCache>
            </c:strRef>
          </c:cat>
          <c:val>
            <c:numRef>
              <c:f>data3!$B$2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B-42F2-9FD5-7F580E43F951}"/>
            </c:ext>
          </c:extLst>
        </c:ser>
        <c:ser>
          <c:idx val="1"/>
          <c:order val="1"/>
          <c:tx>
            <c:strRef>
              <c:f>data3!$A$3</c:f>
              <c:strCache>
                <c:ptCount val="1"/>
                <c:pt idx="0">
                  <c:v>VIA PUBLICA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data3!$B$1</c:f>
              <c:strCache>
                <c:ptCount val="1"/>
                <c:pt idx="0">
                  <c:v>Enero 2020 a Junio  2025</c:v>
                </c:pt>
              </c:strCache>
            </c:strRef>
          </c:cat>
          <c:val>
            <c:numRef>
              <c:f>data3!$B$3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EB-42F2-9FD5-7F580E43F951}"/>
            </c:ext>
          </c:extLst>
        </c:ser>
        <c:ser>
          <c:idx val="2"/>
          <c:order val="2"/>
          <c:tx>
            <c:strRef>
              <c:f>data3!$A$4</c:f>
              <c:strCache>
                <c:ptCount val="1"/>
                <c:pt idx="0">
                  <c:v>VEHICULO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data3!$B$1</c:f>
              <c:strCache>
                <c:ptCount val="1"/>
                <c:pt idx="0">
                  <c:v>Enero 2020 a Junio  2025</c:v>
                </c:pt>
              </c:strCache>
            </c:strRef>
          </c:cat>
          <c:val>
            <c:numRef>
              <c:f>data3!$B$4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EB-42F2-9FD5-7F580E43F951}"/>
            </c:ext>
          </c:extLst>
        </c:ser>
        <c:ser>
          <c:idx val="3"/>
          <c:order val="3"/>
          <c:tx>
            <c:strRef>
              <c:f>data3!$A$5</c:f>
              <c:strCache>
                <c:ptCount val="1"/>
                <c:pt idx="0">
                  <c:v>SIN ESTABLECR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data3!$B$1</c:f>
              <c:strCache>
                <c:ptCount val="1"/>
                <c:pt idx="0">
                  <c:v>Enero 2020 a Junio  2025</c:v>
                </c:pt>
              </c:strCache>
            </c:strRef>
          </c:cat>
          <c:val>
            <c:numRef>
              <c:f>data3!$B$5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EB-42F2-9FD5-7F580E43F951}"/>
            </c:ext>
          </c:extLst>
        </c:ser>
        <c:ser>
          <c:idx val="4"/>
          <c:order val="4"/>
          <c:tx>
            <c:strRef>
              <c:f>data3!$A$6</c:f>
              <c:strCache>
                <c:ptCount val="1"/>
                <c:pt idx="0">
                  <c:v>PENITENCIARIA EL BARNE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data3!$B$1</c:f>
              <c:strCache>
                <c:ptCount val="1"/>
                <c:pt idx="0">
                  <c:v>Enero 2020 a Junio  2025</c:v>
                </c:pt>
              </c:strCache>
            </c:strRef>
          </c:cat>
          <c:val>
            <c:numRef>
              <c:f>data3!$B$6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EB-42F2-9FD5-7F580E43F951}"/>
            </c:ext>
          </c:extLst>
        </c:ser>
        <c:ser>
          <c:idx val="5"/>
          <c:order val="5"/>
          <c:tx>
            <c:strRef>
              <c:f>data3!$A$7</c:f>
              <c:strCache>
                <c:ptCount val="1"/>
                <c:pt idx="0">
                  <c:v>VIVIENDA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data3!$B$1</c:f>
              <c:strCache>
                <c:ptCount val="1"/>
                <c:pt idx="0">
                  <c:v>Enero 2020 a Junio  2025</c:v>
                </c:pt>
              </c:strCache>
            </c:strRef>
          </c:cat>
          <c:val>
            <c:numRef>
              <c:f>data3!$B$7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EB-42F2-9FD5-7F580E43F951}"/>
            </c:ext>
          </c:extLst>
        </c:ser>
        <c:ser>
          <c:idx val="6"/>
          <c:order val="6"/>
          <c:tx>
            <c:strRef>
              <c:f>data3!$A$8</c:f>
              <c:strCache>
                <c:ptCount val="1"/>
                <c:pt idx="0">
                  <c:v>CAMPO ABIERTO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data3!$B$1</c:f>
              <c:strCache>
                <c:ptCount val="1"/>
                <c:pt idx="0">
                  <c:v>Enero 2020 a Junio  2025</c:v>
                </c:pt>
              </c:strCache>
            </c:strRef>
          </c:cat>
          <c:val>
            <c:numRef>
              <c:f>data3!$B$8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A-4318-9844-535A5FE5D6EA}"/>
            </c:ext>
          </c:extLst>
        </c:ser>
        <c:ser>
          <c:idx val="7"/>
          <c:order val="7"/>
          <c:tx>
            <c:strRef>
              <c:f>data3!$A$9</c:f>
              <c:strCache>
                <c:ptCount val="1"/>
                <c:pt idx="0">
                  <c:v>FINCA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data3!$B$1</c:f>
              <c:strCache>
                <c:ptCount val="1"/>
                <c:pt idx="0">
                  <c:v>Enero 2020 a Junio  2025</c:v>
                </c:pt>
              </c:strCache>
            </c:strRef>
          </c:cat>
          <c:val>
            <c:numRef>
              <c:f>data3!$B$9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EA-4318-9844-535A5FE5D6EA}"/>
            </c:ext>
          </c:extLst>
        </c:ser>
        <c:ser>
          <c:idx val="8"/>
          <c:order val="8"/>
          <c:tx>
            <c:strRef>
              <c:f>data3!$A$10</c:f>
              <c:strCache>
                <c:ptCount val="1"/>
                <c:pt idx="0">
                  <c:v>SECRETARIA DE GOBIERNO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data3!$B$1</c:f>
              <c:strCache>
                <c:ptCount val="1"/>
                <c:pt idx="0">
                  <c:v>Enero 2020 a Junio  2025</c:v>
                </c:pt>
              </c:strCache>
            </c:strRef>
          </c:cat>
          <c:val>
            <c:numRef>
              <c:f>data3!$B$10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7-453B-9055-3D851053A43C}"/>
            </c:ext>
          </c:extLst>
        </c:ser>
        <c:ser>
          <c:idx val="9"/>
          <c:order val="9"/>
          <c:tx>
            <c:strRef>
              <c:f>data3!$A$11</c:f>
              <c:strCache>
                <c:ptCount val="1"/>
                <c:pt idx="0">
                  <c:v>NO REPORTA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data3!$B$1</c:f>
              <c:strCache>
                <c:ptCount val="1"/>
                <c:pt idx="0">
                  <c:v>Enero 2020 a Junio  2025</c:v>
                </c:pt>
              </c:strCache>
            </c:strRef>
          </c:cat>
          <c:val>
            <c:numRef>
              <c:f>data3!$B$11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6D-443D-8261-38AA8C0213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7583680"/>
        <c:axId val="667595328"/>
      </c:barChart>
      <c:catAx>
        <c:axId val="66758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7595328"/>
        <c:crosses val="autoZero"/>
        <c:auto val="1"/>
        <c:lblAlgn val="ctr"/>
        <c:lblOffset val="100"/>
        <c:noMultiLvlLbl val="0"/>
      </c:catAx>
      <c:valAx>
        <c:axId val="667595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Lugar de ocurrencia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758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baseline="0"/>
              <a:t>COMPORTAMIENTO DE CASOS DE FEMINICIDIOS </a:t>
            </a:r>
          </a:p>
          <a:p>
            <a:pPr>
              <a:defRPr b="1"/>
            </a:pPr>
            <a:r>
              <a:rPr lang="es-CO" b="1" baseline="0"/>
              <a:t>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data4!$B$1:$BO$1</c:f>
              <c:strCache>
                <c:ptCount val="66"/>
                <c:pt idx="0">
                  <c:v>Enero 2020</c:v>
                </c:pt>
                <c:pt idx="1">
                  <c:v>Febrero 2020</c:v>
                </c:pt>
                <c:pt idx="2">
                  <c:v>marzo 2020</c:v>
                </c:pt>
                <c:pt idx="3">
                  <c:v>Abril 2020</c:v>
                </c:pt>
                <c:pt idx="4">
                  <c:v>Mayo 2020</c:v>
                </c:pt>
                <c:pt idx="5">
                  <c:v>Junio 2020</c:v>
                </c:pt>
                <c:pt idx="6">
                  <c:v>Julio 2020</c:v>
                </c:pt>
                <c:pt idx="7">
                  <c:v>Agosto 2020</c:v>
                </c:pt>
                <c:pt idx="8">
                  <c:v>Septiembre 2020</c:v>
                </c:pt>
                <c:pt idx="9">
                  <c:v>Octubre 2020</c:v>
                </c:pt>
                <c:pt idx="10">
                  <c:v>Noviembre 2020</c:v>
                </c:pt>
                <c:pt idx="11">
                  <c:v>Diciembre 2020</c:v>
                </c:pt>
                <c:pt idx="12">
                  <c:v>Enero 2021</c:v>
                </c:pt>
                <c:pt idx="13">
                  <c:v>Febrero 2021</c:v>
                </c:pt>
                <c:pt idx="14">
                  <c:v>marzo 2021</c:v>
                </c:pt>
                <c:pt idx="15">
                  <c:v>Abril 2021</c:v>
                </c:pt>
                <c:pt idx="16">
                  <c:v>Mayo 2021</c:v>
                </c:pt>
                <c:pt idx="17">
                  <c:v>Junio 2021</c:v>
                </c:pt>
                <c:pt idx="18">
                  <c:v>Julio 2021</c:v>
                </c:pt>
                <c:pt idx="19">
                  <c:v>Agosto 2021</c:v>
                </c:pt>
                <c:pt idx="20">
                  <c:v>Septiembre 2021</c:v>
                </c:pt>
                <c:pt idx="21">
                  <c:v>Octubre 2021</c:v>
                </c:pt>
                <c:pt idx="22">
                  <c:v>Noviembre 2021</c:v>
                </c:pt>
                <c:pt idx="23">
                  <c:v>Diciembre 2021</c:v>
                </c:pt>
                <c:pt idx="24">
                  <c:v>Enero 2022</c:v>
                </c:pt>
                <c:pt idx="25">
                  <c:v>Febrero 2022</c:v>
                </c:pt>
                <c:pt idx="26">
                  <c:v>marzo 2022</c:v>
                </c:pt>
                <c:pt idx="27">
                  <c:v>Abril 2022</c:v>
                </c:pt>
                <c:pt idx="28">
                  <c:v>Mayo 2022</c:v>
                </c:pt>
                <c:pt idx="29">
                  <c:v>Junio 2022</c:v>
                </c:pt>
                <c:pt idx="30">
                  <c:v>Julio 2022</c:v>
                </c:pt>
                <c:pt idx="31">
                  <c:v>Agosto 2022</c:v>
                </c:pt>
                <c:pt idx="32">
                  <c:v>Septiembre 2022</c:v>
                </c:pt>
                <c:pt idx="33">
                  <c:v>Octubre 2022</c:v>
                </c:pt>
                <c:pt idx="34">
                  <c:v>Noviembre 2022</c:v>
                </c:pt>
                <c:pt idx="35">
                  <c:v>Diciembre 2022</c:v>
                </c:pt>
                <c:pt idx="36">
                  <c:v>Enero 2023</c:v>
                </c:pt>
                <c:pt idx="37">
                  <c:v>Febrero 2023</c:v>
                </c:pt>
                <c:pt idx="38">
                  <c:v>marzo 2023</c:v>
                </c:pt>
                <c:pt idx="39">
                  <c:v>Abril 2023</c:v>
                </c:pt>
                <c:pt idx="40">
                  <c:v>Mayo 2023</c:v>
                </c:pt>
                <c:pt idx="41">
                  <c:v>Junio 2023</c:v>
                </c:pt>
                <c:pt idx="42">
                  <c:v>Julio 2023</c:v>
                </c:pt>
                <c:pt idx="43">
                  <c:v>Agosto 2023</c:v>
                </c:pt>
                <c:pt idx="44">
                  <c:v>Septiembre 2023</c:v>
                </c:pt>
                <c:pt idx="45">
                  <c:v>Octubre 2023</c:v>
                </c:pt>
                <c:pt idx="46">
                  <c:v>Noviembre 2023</c:v>
                </c:pt>
                <c:pt idx="47">
                  <c:v>Diciembre 2023</c:v>
                </c:pt>
                <c:pt idx="48">
                  <c:v>Enero 2024</c:v>
                </c:pt>
                <c:pt idx="49">
                  <c:v>Febrero 2024</c:v>
                </c:pt>
                <c:pt idx="50">
                  <c:v>marzo 2024</c:v>
                </c:pt>
                <c:pt idx="51">
                  <c:v>Abril 2024</c:v>
                </c:pt>
                <c:pt idx="52">
                  <c:v>Mayo 2024</c:v>
                </c:pt>
                <c:pt idx="53">
                  <c:v>Junio 2024</c:v>
                </c:pt>
                <c:pt idx="54">
                  <c:v>Julio 2024</c:v>
                </c:pt>
                <c:pt idx="55">
                  <c:v>Agosto 2024</c:v>
                </c:pt>
                <c:pt idx="56">
                  <c:v>Septiembre 2024</c:v>
                </c:pt>
                <c:pt idx="57">
                  <c:v>Octubre 2024</c:v>
                </c:pt>
                <c:pt idx="58">
                  <c:v>Noviembre 2024</c:v>
                </c:pt>
                <c:pt idx="59">
                  <c:v>Diciembre 2024</c:v>
                </c:pt>
                <c:pt idx="60">
                  <c:v>Enero 2025</c:v>
                </c:pt>
                <c:pt idx="61">
                  <c:v>Febrero 2025</c:v>
                </c:pt>
                <c:pt idx="62">
                  <c:v>Marzo 2025</c:v>
                </c:pt>
                <c:pt idx="63">
                  <c:v>Abril 2025</c:v>
                </c:pt>
                <c:pt idx="64">
                  <c:v>Mayo 2025</c:v>
                </c:pt>
                <c:pt idx="65">
                  <c:v>Junio 2025</c:v>
                </c:pt>
              </c:strCache>
            </c:strRef>
          </c:cat>
          <c:val>
            <c:numRef>
              <c:f>data4!$B$2:$BO$2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/>
              <a:t>NÚMERO DE CASOS DE FEMINICIDIO DE ACUERDO A LA RELACIÓN CON EL VICTIMARIO</a:t>
            </a:r>
            <a:endParaRPr lang="es-CO" sz="1400" b="1" baseline="0"/>
          </a:p>
          <a:p>
            <a:pPr>
              <a:defRPr/>
            </a:pPr>
            <a:r>
              <a:rPr lang="es-CO" sz="1400" b="1" baseline="0"/>
              <a:t>enero 2020 a junio 2025</a:t>
            </a:r>
            <a:endParaRPr lang="es-CO" sz="1400" b="1"/>
          </a:p>
        </c:rich>
      </c:tx>
      <c:layout>
        <c:manualLayout>
          <c:xMode val="edge"/>
          <c:yMode val="edge"/>
          <c:x val="0.1523279764894678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data5!$A$2</c:f>
              <c:strCache>
                <c:ptCount val="1"/>
                <c:pt idx="0">
                  <c:v>COMPAÑERO SENTIMENTAL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data5!$B$1</c:f>
              <c:strCache>
                <c:ptCount val="1"/>
                <c:pt idx="0">
                  <c:v>Enero 2020 a junio 2025</c:v>
                </c:pt>
              </c:strCache>
            </c:strRef>
          </c:cat>
          <c:val>
            <c:numRef>
              <c:f>data5!$B$2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9-4A34-9836-FE2FF645970E}"/>
            </c:ext>
          </c:extLst>
        </c:ser>
        <c:ser>
          <c:idx val="1"/>
          <c:order val="1"/>
          <c:tx>
            <c:strRef>
              <c:f>data5!$A$3</c:f>
              <c:strCache>
                <c:ptCount val="1"/>
                <c:pt idx="0">
                  <c:v>NOVIO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data5!$B$1</c:f>
              <c:strCache>
                <c:ptCount val="1"/>
                <c:pt idx="0">
                  <c:v>Enero 2020 a junio 2025</c:v>
                </c:pt>
              </c:strCache>
            </c:strRef>
          </c:cat>
          <c:val>
            <c:numRef>
              <c:f>data5!$B$3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9-4A34-9836-FE2FF645970E}"/>
            </c:ext>
          </c:extLst>
        </c:ser>
        <c:ser>
          <c:idx val="2"/>
          <c:order val="2"/>
          <c:tx>
            <c:strRef>
              <c:f>data5!$A$4</c:f>
              <c:strCache>
                <c:ptCount val="1"/>
                <c:pt idx="0">
                  <c:v>EX COMPAÑERO SENTIMENTAL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data5!$B$1</c:f>
              <c:strCache>
                <c:ptCount val="1"/>
                <c:pt idx="0">
                  <c:v>Enero 2020 a junio 2025</c:v>
                </c:pt>
              </c:strCache>
            </c:strRef>
          </c:cat>
          <c:val>
            <c:numRef>
              <c:f>data5!$B$4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99-4A34-9836-FE2FF645970E}"/>
            </c:ext>
          </c:extLst>
        </c:ser>
        <c:ser>
          <c:idx val="3"/>
          <c:order val="3"/>
          <c:tx>
            <c:strRef>
              <c:f>data5!$A$5</c:f>
              <c:strCache>
                <c:ptCount val="1"/>
                <c:pt idx="0">
                  <c:v>CONOCIDO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data5!$B$1</c:f>
              <c:strCache>
                <c:ptCount val="1"/>
                <c:pt idx="0">
                  <c:v>Enero 2020 a junio 2025</c:v>
                </c:pt>
              </c:strCache>
            </c:strRef>
          </c:cat>
          <c:val>
            <c:numRef>
              <c:f>data5!$B$5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99-4A34-9836-FE2FF645970E}"/>
            </c:ext>
          </c:extLst>
        </c:ser>
        <c:ser>
          <c:idx val="4"/>
          <c:order val="4"/>
          <c:tx>
            <c:strRef>
              <c:f>data5!$A$6</c:f>
              <c:strCache>
                <c:ptCount val="1"/>
                <c:pt idx="0">
                  <c:v>TIO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data5!$B$1</c:f>
              <c:strCache>
                <c:ptCount val="1"/>
                <c:pt idx="0">
                  <c:v>Enero 2020 a junio 2025</c:v>
                </c:pt>
              </c:strCache>
            </c:strRef>
          </c:cat>
          <c:val>
            <c:numRef>
              <c:f>data5!$B$6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99-4A34-9836-FE2FF645970E}"/>
            </c:ext>
          </c:extLst>
        </c:ser>
        <c:ser>
          <c:idx val="5"/>
          <c:order val="5"/>
          <c:tx>
            <c:strRef>
              <c:f>data5!$A$7</c:f>
              <c:strCache>
                <c:ptCount val="1"/>
                <c:pt idx="0">
                  <c:v>POR ESTABLECER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data5!$B$1</c:f>
              <c:strCache>
                <c:ptCount val="1"/>
                <c:pt idx="0">
                  <c:v>Enero 2020 a junio 2025</c:v>
                </c:pt>
              </c:strCache>
            </c:strRef>
          </c:cat>
          <c:val>
            <c:numRef>
              <c:f>data5!$B$7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99-4A34-9836-FE2FF645970E}"/>
            </c:ext>
          </c:extLst>
        </c:ser>
        <c:ser>
          <c:idx val="6"/>
          <c:order val="6"/>
          <c:tx>
            <c:strRef>
              <c:f>data5!$A$8</c:f>
              <c:strCache>
                <c:ptCount val="1"/>
                <c:pt idx="0">
                  <c:v>NINGUNA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data5!$B$1</c:f>
              <c:strCache>
                <c:ptCount val="1"/>
                <c:pt idx="0">
                  <c:v>Enero 2020 a junio 2025</c:v>
                </c:pt>
              </c:strCache>
            </c:strRef>
          </c:cat>
          <c:val>
            <c:numRef>
              <c:f>data5!$B$8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99-4A34-9836-FE2FF645970E}"/>
            </c:ext>
          </c:extLst>
        </c:ser>
        <c:ser>
          <c:idx val="7"/>
          <c:order val="7"/>
          <c:tx>
            <c:strRef>
              <c:f>data5!$A$9</c:f>
              <c:strCache>
                <c:ptCount val="1"/>
                <c:pt idx="0">
                  <c:v>EX NOVIO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data5!$B$1</c:f>
              <c:strCache>
                <c:ptCount val="1"/>
                <c:pt idx="0">
                  <c:v>Enero 2020 a junio 2025</c:v>
                </c:pt>
              </c:strCache>
            </c:strRef>
          </c:cat>
          <c:val>
            <c:numRef>
              <c:f>data5!$B$9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D-48CD-AF54-94CE2382DD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7583680"/>
        <c:axId val="667595328"/>
      </c:barChart>
      <c:catAx>
        <c:axId val="66758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7595328"/>
        <c:crosses val="autoZero"/>
        <c:auto val="1"/>
        <c:lblAlgn val="ctr"/>
        <c:lblOffset val="100"/>
        <c:noMultiLvlLbl val="0"/>
      </c:catAx>
      <c:valAx>
        <c:axId val="667595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Relación con el victimario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758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14286</xdr:colOff>
      <xdr:row>18</xdr:row>
      <xdr:rowOff>185736</xdr:rowOff>
    </xdr:from>
    <xdr:to>
      <xdr:col>9</xdr:col>
      <xdr:colOff>66675</xdr:colOff>
      <xdr:row>33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072D34-5DDE-4373-9431-36BFB9F7E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</xdr:colOff>
      <xdr:row>10</xdr:row>
      <xdr:rowOff>17463</xdr:rowOff>
    </xdr:from>
    <xdr:to>
      <xdr:col>11</xdr:col>
      <xdr:colOff>726280</xdr:colOff>
      <xdr:row>24</xdr:row>
      <xdr:rowOff>11907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14286</xdr:colOff>
      <xdr:row>16</xdr:row>
      <xdr:rowOff>185736</xdr:rowOff>
    </xdr:from>
    <xdr:to>
      <xdr:col>9</xdr:col>
      <xdr:colOff>66675</xdr:colOff>
      <xdr:row>31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CF89AC-1A6C-4A6D-88BB-CA85730FD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AUDIA%20ZAMBRANO/GOBERNACION%202024/PLANEACION/ARCHIVOS%20PARA%20MONTAJE/Codigos%20Dane%20municip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municipios"/>
      <sheetName val="Hoja1"/>
    </sheetNames>
    <sheetDataSet>
      <sheetData sheetId="0"/>
      <sheetData sheetId="1">
        <row r="1">
          <cell r="D1" t="str">
            <v xml:space="preserve">Código </v>
          </cell>
          <cell r="E1" t="str">
            <v>Nombre</v>
          </cell>
        </row>
        <row r="2">
          <cell r="D2">
            <v>15001</v>
          </cell>
          <cell r="E2" t="str">
            <v>TUNJA</v>
          </cell>
        </row>
        <row r="3">
          <cell r="D3">
            <v>15022</v>
          </cell>
          <cell r="E3" t="str">
            <v>ALMEIDA</v>
          </cell>
        </row>
        <row r="4">
          <cell r="D4">
            <v>15047</v>
          </cell>
          <cell r="E4" t="str">
            <v>AQUITANIA</v>
          </cell>
        </row>
        <row r="5">
          <cell r="D5">
            <v>15051</v>
          </cell>
          <cell r="E5" t="str">
            <v>ARCABUCO</v>
          </cell>
        </row>
        <row r="6">
          <cell r="D6">
            <v>15087</v>
          </cell>
          <cell r="E6" t="str">
            <v>BELÉN</v>
          </cell>
        </row>
        <row r="7">
          <cell r="D7">
            <v>15090</v>
          </cell>
          <cell r="E7" t="str">
            <v>BERBEO</v>
          </cell>
        </row>
        <row r="8">
          <cell r="D8">
            <v>15092</v>
          </cell>
          <cell r="E8" t="str">
            <v>BETÉITIVA</v>
          </cell>
        </row>
        <row r="9">
          <cell r="D9">
            <v>15097</v>
          </cell>
          <cell r="E9" t="str">
            <v>BOAVITA</v>
          </cell>
        </row>
        <row r="10">
          <cell r="D10">
            <v>15104</v>
          </cell>
          <cell r="E10" t="str">
            <v>BOYACÁ</v>
          </cell>
        </row>
        <row r="11">
          <cell r="D11">
            <v>15106</v>
          </cell>
          <cell r="E11" t="str">
            <v>BRICEÑO</v>
          </cell>
        </row>
        <row r="12">
          <cell r="D12">
            <v>15109</v>
          </cell>
          <cell r="E12" t="str">
            <v>BUENAVISTA</v>
          </cell>
        </row>
        <row r="13">
          <cell r="D13">
            <v>15114</v>
          </cell>
          <cell r="E13" t="str">
            <v>BUSBANZÁ</v>
          </cell>
        </row>
        <row r="14">
          <cell r="D14">
            <v>15131</v>
          </cell>
          <cell r="E14" t="str">
            <v>CALDAS</v>
          </cell>
        </row>
        <row r="15">
          <cell r="D15">
            <v>15135</v>
          </cell>
          <cell r="E15" t="str">
            <v>CAMPOHERMOSO</v>
          </cell>
        </row>
        <row r="16">
          <cell r="D16">
            <v>15162</v>
          </cell>
          <cell r="E16" t="str">
            <v>CERINZA</v>
          </cell>
        </row>
        <row r="17">
          <cell r="D17">
            <v>15172</v>
          </cell>
          <cell r="E17" t="str">
            <v>CHINAVITA</v>
          </cell>
        </row>
        <row r="18">
          <cell r="D18">
            <v>15176</v>
          </cell>
          <cell r="E18" t="str">
            <v>CHIQUINQUIRÁ</v>
          </cell>
        </row>
        <row r="19">
          <cell r="D19">
            <v>15180</v>
          </cell>
          <cell r="E19" t="str">
            <v>CHISCAS</v>
          </cell>
        </row>
        <row r="20">
          <cell r="D20">
            <v>15183</v>
          </cell>
          <cell r="E20" t="str">
            <v>CHITA</v>
          </cell>
        </row>
        <row r="21">
          <cell r="D21">
            <v>15185</v>
          </cell>
          <cell r="E21" t="str">
            <v>CHITARAQUE</v>
          </cell>
        </row>
        <row r="22">
          <cell r="D22">
            <v>15187</v>
          </cell>
          <cell r="E22" t="str">
            <v>CHIVATÁ</v>
          </cell>
        </row>
        <row r="23">
          <cell r="D23">
            <v>15189</v>
          </cell>
          <cell r="E23" t="str">
            <v>CIÉNEGA</v>
          </cell>
        </row>
        <row r="24">
          <cell r="D24">
            <v>15204</v>
          </cell>
          <cell r="E24" t="str">
            <v>CÓMBITA</v>
          </cell>
        </row>
        <row r="25">
          <cell r="D25">
            <v>15212</v>
          </cell>
          <cell r="E25" t="str">
            <v>COPER</v>
          </cell>
        </row>
        <row r="26">
          <cell r="D26">
            <v>15215</v>
          </cell>
          <cell r="E26" t="str">
            <v>CORRALES</v>
          </cell>
        </row>
        <row r="27">
          <cell r="D27">
            <v>15218</v>
          </cell>
          <cell r="E27" t="str">
            <v>COVARACHÍA</v>
          </cell>
        </row>
        <row r="28">
          <cell r="D28">
            <v>15223</v>
          </cell>
          <cell r="E28" t="str">
            <v>CUBARÁ</v>
          </cell>
        </row>
        <row r="29">
          <cell r="D29">
            <v>15224</v>
          </cell>
          <cell r="E29" t="str">
            <v>CUCAITA</v>
          </cell>
        </row>
        <row r="30">
          <cell r="D30">
            <v>15226</v>
          </cell>
          <cell r="E30" t="str">
            <v>CUÍTIVA</v>
          </cell>
        </row>
        <row r="31">
          <cell r="D31">
            <v>15232</v>
          </cell>
          <cell r="E31" t="str">
            <v>CHÍQUIZA</v>
          </cell>
        </row>
        <row r="32">
          <cell r="D32">
            <v>15236</v>
          </cell>
          <cell r="E32" t="str">
            <v>CHIVOR</v>
          </cell>
        </row>
        <row r="33">
          <cell r="D33">
            <v>15238</v>
          </cell>
          <cell r="E33" t="str">
            <v>DUITAMA</v>
          </cell>
        </row>
        <row r="34">
          <cell r="D34">
            <v>15244</v>
          </cell>
          <cell r="E34" t="str">
            <v>EL COCUY</v>
          </cell>
        </row>
        <row r="35">
          <cell r="D35">
            <v>15248</v>
          </cell>
          <cell r="E35" t="str">
            <v>EL ESPINO</v>
          </cell>
        </row>
        <row r="36">
          <cell r="D36">
            <v>15272</v>
          </cell>
          <cell r="E36" t="str">
            <v>FIRAVITOBA</v>
          </cell>
        </row>
        <row r="37">
          <cell r="D37">
            <v>15276</v>
          </cell>
          <cell r="E37" t="str">
            <v>FLORESTA</v>
          </cell>
        </row>
        <row r="38">
          <cell r="D38">
            <v>15293</v>
          </cell>
          <cell r="E38" t="str">
            <v>GACHANTIVÁ</v>
          </cell>
        </row>
        <row r="39">
          <cell r="D39">
            <v>15296</v>
          </cell>
          <cell r="E39" t="str">
            <v>GÁMEZA</v>
          </cell>
        </row>
        <row r="40">
          <cell r="D40">
            <v>15299</v>
          </cell>
          <cell r="E40" t="str">
            <v>GARAGOA</v>
          </cell>
        </row>
        <row r="41">
          <cell r="D41">
            <v>15317</v>
          </cell>
          <cell r="E41" t="str">
            <v>GUACAMAYAS</v>
          </cell>
        </row>
        <row r="42">
          <cell r="D42">
            <v>15322</v>
          </cell>
          <cell r="E42" t="str">
            <v>GUATEQUE</v>
          </cell>
        </row>
        <row r="43">
          <cell r="D43">
            <v>15325</v>
          </cell>
          <cell r="E43" t="str">
            <v>GUAYATÁ</v>
          </cell>
        </row>
        <row r="44">
          <cell r="D44">
            <v>15332</v>
          </cell>
          <cell r="E44" t="str">
            <v>GÜICÁN DE LA SIERRA</v>
          </cell>
        </row>
        <row r="45">
          <cell r="D45">
            <v>15362</v>
          </cell>
          <cell r="E45" t="str">
            <v>IZA</v>
          </cell>
        </row>
        <row r="46">
          <cell r="D46">
            <v>15367</v>
          </cell>
          <cell r="E46" t="str">
            <v>JENESANO</v>
          </cell>
        </row>
        <row r="47">
          <cell r="D47">
            <v>15368</v>
          </cell>
          <cell r="E47" t="str">
            <v>JERICÓ</v>
          </cell>
        </row>
        <row r="48">
          <cell r="D48">
            <v>15377</v>
          </cell>
          <cell r="E48" t="str">
            <v>LABRANZAGRANDE</v>
          </cell>
        </row>
        <row r="49">
          <cell r="D49">
            <v>15380</v>
          </cell>
          <cell r="E49" t="str">
            <v>LA CAPILLA</v>
          </cell>
        </row>
        <row r="50">
          <cell r="D50">
            <v>15401</v>
          </cell>
          <cell r="E50" t="str">
            <v>LA VICTORIA</v>
          </cell>
        </row>
        <row r="51">
          <cell r="D51">
            <v>15403</v>
          </cell>
          <cell r="E51" t="str">
            <v>LA UVITA</v>
          </cell>
        </row>
        <row r="52">
          <cell r="D52">
            <v>15407</v>
          </cell>
          <cell r="E52" t="str">
            <v>VILLA DE LEYVA</v>
          </cell>
        </row>
        <row r="53">
          <cell r="D53">
            <v>15425</v>
          </cell>
          <cell r="E53" t="str">
            <v>MACANAL</v>
          </cell>
        </row>
        <row r="54">
          <cell r="D54">
            <v>15442</v>
          </cell>
          <cell r="E54" t="str">
            <v>MARIPÍ</v>
          </cell>
        </row>
        <row r="55">
          <cell r="D55">
            <v>15455</v>
          </cell>
          <cell r="E55" t="str">
            <v>MIRAFLORES</v>
          </cell>
        </row>
        <row r="56">
          <cell r="D56">
            <v>15464</v>
          </cell>
          <cell r="E56" t="str">
            <v>MONGUA</v>
          </cell>
        </row>
        <row r="57">
          <cell r="D57">
            <v>15466</v>
          </cell>
          <cell r="E57" t="str">
            <v>MONGUÍ</v>
          </cell>
        </row>
        <row r="58">
          <cell r="D58">
            <v>15469</v>
          </cell>
          <cell r="E58" t="str">
            <v>MONIQUIRÁ</v>
          </cell>
        </row>
        <row r="59">
          <cell r="D59">
            <v>15476</v>
          </cell>
          <cell r="E59" t="str">
            <v>MOTAVITA</v>
          </cell>
        </row>
        <row r="60">
          <cell r="D60">
            <v>15480</v>
          </cell>
          <cell r="E60" t="str">
            <v>MUZO</v>
          </cell>
        </row>
        <row r="61">
          <cell r="D61">
            <v>15491</v>
          </cell>
          <cell r="E61" t="str">
            <v>NOBSA</v>
          </cell>
        </row>
        <row r="62">
          <cell r="D62">
            <v>15494</v>
          </cell>
          <cell r="E62" t="str">
            <v>NUEVO COLÓN</v>
          </cell>
        </row>
        <row r="63">
          <cell r="D63">
            <v>15500</v>
          </cell>
          <cell r="E63" t="str">
            <v>OICATÁ</v>
          </cell>
        </row>
        <row r="64">
          <cell r="D64">
            <v>15507</v>
          </cell>
          <cell r="E64" t="str">
            <v>OTANCHE</v>
          </cell>
        </row>
        <row r="65">
          <cell r="D65">
            <v>15511</v>
          </cell>
          <cell r="E65" t="str">
            <v>PACHAVITA</v>
          </cell>
        </row>
        <row r="66">
          <cell r="D66">
            <v>15514</v>
          </cell>
          <cell r="E66" t="str">
            <v>PÁEZ</v>
          </cell>
        </row>
        <row r="67">
          <cell r="D67">
            <v>15516</v>
          </cell>
          <cell r="E67" t="str">
            <v>PAIPA</v>
          </cell>
        </row>
        <row r="68">
          <cell r="D68">
            <v>15518</v>
          </cell>
          <cell r="E68" t="str">
            <v>PAJARITO</v>
          </cell>
        </row>
        <row r="69">
          <cell r="D69">
            <v>15522</v>
          </cell>
          <cell r="E69" t="str">
            <v>PANQUEBA</v>
          </cell>
        </row>
        <row r="70">
          <cell r="D70">
            <v>15531</v>
          </cell>
          <cell r="E70" t="str">
            <v>PAUNA</v>
          </cell>
        </row>
        <row r="71">
          <cell r="D71">
            <v>15533</v>
          </cell>
          <cell r="E71" t="str">
            <v>PAYA</v>
          </cell>
        </row>
        <row r="72">
          <cell r="D72">
            <v>15537</v>
          </cell>
          <cell r="E72" t="str">
            <v>PAZ DE RÍO</v>
          </cell>
        </row>
        <row r="73">
          <cell r="D73">
            <v>15542</v>
          </cell>
          <cell r="E73" t="str">
            <v>PESCA</v>
          </cell>
        </row>
        <row r="74">
          <cell r="D74">
            <v>15550</v>
          </cell>
          <cell r="E74" t="str">
            <v>PISBA</v>
          </cell>
        </row>
        <row r="75">
          <cell r="D75">
            <v>15572</v>
          </cell>
          <cell r="E75" t="str">
            <v>PUERTO BOYACÁ</v>
          </cell>
        </row>
        <row r="76">
          <cell r="D76">
            <v>15580</v>
          </cell>
          <cell r="E76" t="str">
            <v>QUÍPAMA</v>
          </cell>
        </row>
        <row r="77">
          <cell r="D77">
            <v>15599</v>
          </cell>
          <cell r="E77" t="str">
            <v>RAMIRIQUÍ</v>
          </cell>
        </row>
        <row r="78">
          <cell r="D78">
            <v>15600</v>
          </cell>
          <cell r="E78" t="str">
            <v>RÁQUIRA</v>
          </cell>
        </row>
        <row r="79">
          <cell r="D79">
            <v>15621</v>
          </cell>
          <cell r="E79" t="str">
            <v>RONDÓN</v>
          </cell>
        </row>
        <row r="80">
          <cell r="D80">
            <v>15632</v>
          </cell>
          <cell r="E80" t="str">
            <v>SABOYÁ</v>
          </cell>
        </row>
        <row r="81">
          <cell r="D81">
            <v>15638</v>
          </cell>
          <cell r="E81" t="str">
            <v>SÁCHICA</v>
          </cell>
        </row>
        <row r="82">
          <cell r="D82">
            <v>15646</v>
          </cell>
          <cell r="E82" t="str">
            <v>SAMACÁ</v>
          </cell>
        </row>
        <row r="83">
          <cell r="D83">
            <v>15660</v>
          </cell>
          <cell r="E83" t="str">
            <v>SAN EDUARDO</v>
          </cell>
        </row>
        <row r="84">
          <cell r="D84">
            <v>15664</v>
          </cell>
          <cell r="E84" t="str">
            <v>SAN JOSÉ DE PARE</v>
          </cell>
        </row>
        <row r="85">
          <cell r="D85">
            <v>15667</v>
          </cell>
          <cell r="E85" t="str">
            <v>SAN LUIS DE GACENO</v>
          </cell>
        </row>
        <row r="86">
          <cell r="D86">
            <v>15673</v>
          </cell>
          <cell r="E86" t="str">
            <v>SAN MATEO</v>
          </cell>
        </row>
        <row r="87">
          <cell r="D87">
            <v>15676</v>
          </cell>
          <cell r="E87" t="str">
            <v>SAN MIGUEL DE SEMA</v>
          </cell>
        </row>
        <row r="88">
          <cell r="D88">
            <v>15681</v>
          </cell>
          <cell r="E88" t="str">
            <v>SAN PABLO DE BORBUR</v>
          </cell>
        </row>
        <row r="89">
          <cell r="D89">
            <v>15686</v>
          </cell>
          <cell r="E89" t="str">
            <v>SANTANA</v>
          </cell>
        </row>
        <row r="90">
          <cell r="D90">
            <v>15690</v>
          </cell>
          <cell r="E90" t="str">
            <v>SANTA MARÍA</v>
          </cell>
        </row>
        <row r="91">
          <cell r="D91">
            <v>15693</v>
          </cell>
          <cell r="E91" t="str">
            <v>SANTA ROSA DE VITERBO</v>
          </cell>
        </row>
        <row r="92">
          <cell r="D92">
            <v>15696</v>
          </cell>
          <cell r="E92" t="str">
            <v>SANTA SOFÍA</v>
          </cell>
        </row>
        <row r="93">
          <cell r="D93">
            <v>15720</v>
          </cell>
          <cell r="E93" t="str">
            <v>SATIVANORTE</v>
          </cell>
        </row>
        <row r="94">
          <cell r="D94">
            <v>15723</v>
          </cell>
          <cell r="E94" t="str">
            <v>SATIVASUR</v>
          </cell>
        </row>
        <row r="95">
          <cell r="D95">
            <v>15740</v>
          </cell>
          <cell r="E95" t="str">
            <v>SIACHOQUE</v>
          </cell>
        </row>
        <row r="96">
          <cell r="D96">
            <v>15753</v>
          </cell>
          <cell r="E96" t="str">
            <v>SOATÁ</v>
          </cell>
        </row>
        <row r="97">
          <cell r="D97">
            <v>15755</v>
          </cell>
          <cell r="E97" t="str">
            <v>SOCOTÁ</v>
          </cell>
        </row>
        <row r="98">
          <cell r="D98">
            <v>15757</v>
          </cell>
          <cell r="E98" t="str">
            <v>SOCHA</v>
          </cell>
        </row>
        <row r="99">
          <cell r="D99">
            <v>15759</v>
          </cell>
          <cell r="E99" t="str">
            <v>SOGAMOSO</v>
          </cell>
        </row>
        <row r="100">
          <cell r="D100">
            <v>15761</v>
          </cell>
          <cell r="E100" t="str">
            <v>SOMONDOCO</v>
          </cell>
        </row>
        <row r="101">
          <cell r="D101">
            <v>15762</v>
          </cell>
          <cell r="E101" t="str">
            <v>SORA</v>
          </cell>
        </row>
        <row r="102">
          <cell r="D102">
            <v>15763</v>
          </cell>
          <cell r="E102" t="str">
            <v>SOTAQUIRÁ</v>
          </cell>
        </row>
        <row r="103">
          <cell r="D103">
            <v>15764</v>
          </cell>
          <cell r="E103" t="str">
            <v>SORACÁ</v>
          </cell>
        </row>
        <row r="104">
          <cell r="D104">
            <v>15774</v>
          </cell>
          <cell r="E104" t="str">
            <v>SUSACÓN</v>
          </cell>
        </row>
        <row r="105">
          <cell r="D105">
            <v>15776</v>
          </cell>
          <cell r="E105" t="str">
            <v>SUTAMARCHÁN</v>
          </cell>
        </row>
        <row r="106">
          <cell r="D106">
            <v>15778</v>
          </cell>
          <cell r="E106" t="str">
            <v>SUTATENZA</v>
          </cell>
        </row>
        <row r="107">
          <cell r="D107">
            <v>15790</v>
          </cell>
          <cell r="E107" t="str">
            <v>TASCO</v>
          </cell>
        </row>
        <row r="108">
          <cell r="D108">
            <v>15798</v>
          </cell>
          <cell r="E108" t="str">
            <v>TENZA</v>
          </cell>
        </row>
        <row r="109">
          <cell r="D109">
            <v>15804</v>
          </cell>
          <cell r="E109" t="str">
            <v>TIBANÁ</v>
          </cell>
        </row>
        <row r="110">
          <cell r="D110">
            <v>15806</v>
          </cell>
          <cell r="E110" t="str">
            <v>TIBASOSA</v>
          </cell>
        </row>
        <row r="111">
          <cell r="D111">
            <v>15808</v>
          </cell>
          <cell r="E111" t="str">
            <v>TINJACÁ</v>
          </cell>
        </row>
        <row r="112">
          <cell r="D112">
            <v>15810</v>
          </cell>
          <cell r="E112" t="str">
            <v>TIPACOQUE</v>
          </cell>
        </row>
        <row r="113">
          <cell r="D113">
            <v>15814</v>
          </cell>
          <cell r="E113" t="str">
            <v>TOCA</v>
          </cell>
        </row>
        <row r="114">
          <cell r="D114">
            <v>15816</v>
          </cell>
          <cell r="E114" t="str">
            <v>TOGÜÍ</v>
          </cell>
        </row>
        <row r="115">
          <cell r="D115">
            <v>15820</v>
          </cell>
          <cell r="E115" t="str">
            <v>TÓPAGA</v>
          </cell>
        </row>
        <row r="116">
          <cell r="D116">
            <v>15822</v>
          </cell>
          <cell r="E116" t="str">
            <v>TOTA</v>
          </cell>
        </row>
        <row r="117">
          <cell r="D117">
            <v>15832</v>
          </cell>
          <cell r="E117" t="str">
            <v>TUNUNGUÁ</v>
          </cell>
        </row>
        <row r="118">
          <cell r="D118">
            <v>15835</v>
          </cell>
          <cell r="E118" t="str">
            <v>TURMEQUÉ</v>
          </cell>
        </row>
        <row r="119">
          <cell r="D119">
            <v>15837</v>
          </cell>
          <cell r="E119" t="str">
            <v>TUTA</v>
          </cell>
        </row>
        <row r="120">
          <cell r="D120">
            <v>15839</v>
          </cell>
          <cell r="E120" t="str">
            <v>TUTAZÁ</v>
          </cell>
        </row>
        <row r="121">
          <cell r="D121">
            <v>15842</v>
          </cell>
          <cell r="E121" t="str">
            <v>ÚMBITA</v>
          </cell>
        </row>
        <row r="122">
          <cell r="D122">
            <v>15861</v>
          </cell>
          <cell r="E122" t="str">
            <v>VENTAQUEMADA</v>
          </cell>
        </row>
        <row r="123">
          <cell r="D123">
            <v>15879</v>
          </cell>
          <cell r="E123" t="str">
            <v>VIRACACHÁ</v>
          </cell>
        </row>
        <row r="124">
          <cell r="D124">
            <v>15897</v>
          </cell>
          <cell r="E124" t="str">
            <v>ZETAQUIRA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7" sqref="B7"/>
    </sheetView>
  </sheetViews>
  <sheetFormatPr baseColWidth="10" defaultColWidth="14.42578125" defaultRowHeight="1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1</v>
      </c>
    </row>
    <row r="6" spans="1:2">
      <c r="A6" t="s">
        <v>9</v>
      </c>
      <c r="B6" s="1" t="s">
        <v>10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3"/>
  <sheetViews>
    <sheetView workbookViewId="0">
      <selection activeCell="C1" sqref="C1:F12"/>
    </sheetView>
  </sheetViews>
  <sheetFormatPr baseColWidth="10" defaultColWidth="14.42578125" defaultRowHeight="15" customHeight="1"/>
  <cols>
    <col min="1" max="1" width="20.85546875" bestFit="1" customWidth="1"/>
    <col min="2" max="18" width="10.7109375" customWidth="1"/>
  </cols>
  <sheetData>
    <row r="1" spans="1:8">
      <c r="A1" s="9" t="s">
        <v>11</v>
      </c>
      <c r="B1" s="9" t="s">
        <v>49</v>
      </c>
      <c r="C1" s="11" t="s">
        <v>58</v>
      </c>
      <c r="D1" s="10" t="s">
        <v>52</v>
      </c>
      <c r="E1" s="6" t="s">
        <v>12</v>
      </c>
      <c r="F1" s="6" t="s">
        <v>13</v>
      </c>
      <c r="H1" s="2"/>
    </row>
    <row r="2" spans="1:8">
      <c r="A2" s="7">
        <v>2020</v>
      </c>
      <c r="B2" s="7" t="s">
        <v>62</v>
      </c>
      <c r="C2" s="11"/>
      <c r="D2" s="10"/>
      <c r="E2" s="6"/>
      <c r="F2" s="6">
        <v>0</v>
      </c>
      <c r="H2" s="13"/>
    </row>
    <row r="3" spans="1:8">
      <c r="A3" s="7">
        <v>2020</v>
      </c>
      <c r="B3" s="7" t="s">
        <v>63</v>
      </c>
      <c r="C3" s="11"/>
      <c r="D3" s="10"/>
      <c r="E3" s="6"/>
      <c r="F3" s="6">
        <v>3</v>
      </c>
      <c r="H3" s="13"/>
    </row>
    <row r="4" spans="1:8">
      <c r="A4" s="7">
        <v>2021</v>
      </c>
      <c r="B4" s="7" t="s">
        <v>62</v>
      </c>
      <c r="C4" s="11"/>
      <c r="D4" s="10"/>
      <c r="E4" s="6"/>
      <c r="F4" s="6">
        <v>1</v>
      </c>
      <c r="H4" s="13"/>
    </row>
    <row r="5" spans="1:8">
      <c r="A5" s="7">
        <v>2021</v>
      </c>
      <c r="B5" s="7" t="s">
        <v>63</v>
      </c>
      <c r="C5" s="11"/>
      <c r="D5" s="10"/>
      <c r="E5" s="6">
        <v>1</v>
      </c>
      <c r="F5" s="6">
        <v>3</v>
      </c>
      <c r="H5" s="13"/>
    </row>
    <row r="6" spans="1:8">
      <c r="A6" s="7">
        <v>2022</v>
      </c>
      <c r="B6" s="7" t="s">
        <v>62</v>
      </c>
      <c r="C6" s="11"/>
      <c r="D6" s="10"/>
      <c r="E6" s="6">
        <v>1</v>
      </c>
      <c r="F6" s="6">
        <v>2</v>
      </c>
      <c r="H6" s="13"/>
    </row>
    <row r="7" spans="1:8">
      <c r="A7" s="7">
        <v>2022</v>
      </c>
      <c r="B7" s="7" t="s">
        <v>63</v>
      </c>
      <c r="C7" s="11"/>
      <c r="D7" s="10"/>
      <c r="E7" s="6"/>
      <c r="F7" s="6">
        <v>0</v>
      </c>
      <c r="H7" s="13"/>
    </row>
    <row r="8" spans="1:8">
      <c r="A8" s="7">
        <v>2023</v>
      </c>
      <c r="B8" s="7" t="s">
        <v>62</v>
      </c>
      <c r="C8" s="11"/>
      <c r="D8" s="10"/>
      <c r="E8" s="6"/>
      <c r="F8" s="6">
        <v>3</v>
      </c>
      <c r="H8" s="13"/>
    </row>
    <row r="9" spans="1:8">
      <c r="A9" s="7">
        <v>2023</v>
      </c>
      <c r="B9" s="7" t="s">
        <v>63</v>
      </c>
      <c r="C9" s="11"/>
      <c r="D9" s="10"/>
      <c r="E9" s="6">
        <v>1</v>
      </c>
      <c r="F9" s="6">
        <v>0</v>
      </c>
      <c r="H9" s="13"/>
    </row>
    <row r="10" spans="1:8">
      <c r="A10" s="7">
        <v>2024</v>
      </c>
      <c r="B10" s="7" t="s">
        <v>62</v>
      </c>
      <c r="C10" s="11"/>
      <c r="D10" s="10"/>
      <c r="E10" s="6"/>
      <c r="F10" s="6">
        <v>2</v>
      </c>
      <c r="H10" s="13"/>
    </row>
    <row r="11" spans="1:8">
      <c r="A11" s="7">
        <v>2024</v>
      </c>
      <c r="B11" s="7" t="s">
        <v>63</v>
      </c>
      <c r="C11" s="11"/>
      <c r="D11" s="10">
        <v>1</v>
      </c>
      <c r="E11" s="6">
        <v>1</v>
      </c>
      <c r="F11" s="6">
        <v>4</v>
      </c>
      <c r="H11" s="13"/>
    </row>
    <row r="12" spans="1:8">
      <c r="A12" s="7">
        <v>2025</v>
      </c>
      <c r="B12" s="7" t="s">
        <v>62</v>
      </c>
      <c r="C12" s="11">
        <v>1</v>
      </c>
      <c r="D12" s="10"/>
      <c r="E12" s="6"/>
      <c r="F12" s="6">
        <v>1</v>
      </c>
      <c r="H12" s="13"/>
    </row>
    <row r="14" spans="1:8">
      <c r="A14" s="1" t="s">
        <v>4</v>
      </c>
      <c r="B14" s="1" t="s">
        <v>14</v>
      </c>
      <c r="C14" s="1"/>
      <c r="D14" s="1"/>
    </row>
    <row r="15" spans="1:8">
      <c r="A15" s="1" t="s">
        <v>2</v>
      </c>
      <c r="B15" s="1" t="s">
        <v>59</v>
      </c>
      <c r="C15" s="1"/>
      <c r="D15" s="1"/>
    </row>
    <row r="16" spans="1:8">
      <c r="A16" s="1" t="s">
        <v>15</v>
      </c>
      <c r="B16" s="1" t="s">
        <v>16</v>
      </c>
      <c r="C16" s="1"/>
      <c r="D16" s="1"/>
    </row>
    <row r="17" spans="1:4">
      <c r="A17" s="1" t="s">
        <v>17</v>
      </c>
      <c r="B17" s="1" t="s">
        <v>57</v>
      </c>
      <c r="C17" s="1"/>
      <c r="D17" s="1"/>
    </row>
    <row r="18" spans="1:4" ht="15" customHeight="1">
      <c r="A18" s="1"/>
      <c r="B18" s="1"/>
      <c r="C18" s="1"/>
      <c r="D18" s="1"/>
    </row>
    <row r="19" spans="1:4" ht="15" customHeight="1">
      <c r="A19" s="1" t="s">
        <v>18</v>
      </c>
      <c r="B19" s="1" t="s">
        <v>19</v>
      </c>
      <c r="C19" s="1"/>
      <c r="D19" s="1"/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topLeftCell="A7" workbookViewId="0">
      <selection activeCell="D2" sqref="D2:D24"/>
    </sheetView>
  </sheetViews>
  <sheetFormatPr baseColWidth="10" defaultColWidth="14.42578125" defaultRowHeight="15" customHeight="1"/>
  <cols>
    <col min="1" max="1" width="11.85546875" bestFit="1" customWidth="1"/>
    <col min="2" max="2" width="11.85546875" customWidth="1"/>
    <col min="3" max="3" width="17.42578125" customWidth="1"/>
    <col min="4" max="25" width="10.7109375" customWidth="1"/>
  </cols>
  <sheetData>
    <row r="1" spans="1:5">
      <c r="A1" s="3" t="s">
        <v>20</v>
      </c>
      <c r="B1" s="3" t="s">
        <v>11</v>
      </c>
      <c r="C1" s="3" t="s">
        <v>21</v>
      </c>
      <c r="D1" s="3" t="s">
        <v>22</v>
      </c>
    </row>
    <row r="2" spans="1:5">
      <c r="A2">
        <v>15001</v>
      </c>
      <c r="B2">
        <v>2022</v>
      </c>
      <c r="C2" t="s">
        <v>13</v>
      </c>
      <c r="D2">
        <v>2</v>
      </c>
      <c r="E2" t="str">
        <f>VLOOKUP(A2,[1]Hoja1!$D:$E,2,0)</f>
        <v>TUNJA</v>
      </c>
    </row>
    <row r="3" spans="1:5">
      <c r="A3">
        <v>15047</v>
      </c>
      <c r="B3">
        <v>2024</v>
      </c>
      <c r="C3" t="s">
        <v>12</v>
      </c>
      <c r="D3">
        <v>1</v>
      </c>
      <c r="E3" t="str">
        <f>VLOOKUP(A3,[1]Hoja1!$D:$E,2,0)</f>
        <v>AQUITANIA</v>
      </c>
    </row>
    <row r="4" spans="1:5">
      <c r="A4">
        <v>15051</v>
      </c>
      <c r="B4">
        <v>2024</v>
      </c>
      <c r="C4" t="s">
        <v>13</v>
      </c>
      <c r="D4">
        <v>1</v>
      </c>
      <c r="E4" t="str">
        <f>VLOOKUP(A4,[1]Hoja1!$D:$E,2,0)</f>
        <v>ARCABUCO</v>
      </c>
    </row>
    <row r="5" spans="1:5">
      <c r="A5">
        <v>15114</v>
      </c>
      <c r="B5">
        <v>2021</v>
      </c>
      <c r="C5" t="s">
        <v>13</v>
      </c>
      <c r="D5">
        <v>1</v>
      </c>
      <c r="E5" t="str">
        <f>VLOOKUP(A5,[1]Hoja1!$D:$E,2,0)</f>
        <v>BUSBANZÁ</v>
      </c>
    </row>
    <row r="6" spans="1:5">
      <c r="A6">
        <v>15176</v>
      </c>
      <c r="B6">
        <v>2020</v>
      </c>
      <c r="C6" t="s">
        <v>13</v>
      </c>
      <c r="D6">
        <v>1</v>
      </c>
      <c r="E6" t="str">
        <f>VLOOKUP(A6,[1]Hoja1!$D:$E,2,0)</f>
        <v>CHIQUINQUIRÁ</v>
      </c>
    </row>
    <row r="7" spans="1:5">
      <c r="A7">
        <v>15176</v>
      </c>
      <c r="B7">
        <v>2021</v>
      </c>
      <c r="C7" t="s">
        <v>12</v>
      </c>
      <c r="D7">
        <v>1</v>
      </c>
      <c r="E7" t="str">
        <f>VLOOKUP(A7,[1]Hoja1!$D:$E,2,0)</f>
        <v>CHIQUINQUIRÁ</v>
      </c>
    </row>
    <row r="8" spans="1:5">
      <c r="A8">
        <v>15204</v>
      </c>
      <c r="B8">
        <v>2023</v>
      </c>
      <c r="C8" t="s">
        <v>13</v>
      </c>
      <c r="D8">
        <v>1</v>
      </c>
      <c r="E8" t="str">
        <f>VLOOKUP(A8,[1]Hoja1!$D:$E,2,0)</f>
        <v>CÓMBITA</v>
      </c>
    </row>
    <row r="9" spans="1:5">
      <c r="A9">
        <v>15244</v>
      </c>
      <c r="B9">
        <v>2021</v>
      </c>
      <c r="C9" t="s">
        <v>13</v>
      </c>
      <c r="D9">
        <v>1</v>
      </c>
      <c r="E9" t="str">
        <f>VLOOKUP(A9,[1]Hoja1!$D:$E,2,0)</f>
        <v>EL COCUY</v>
      </c>
    </row>
    <row r="10" spans="1:5">
      <c r="A10">
        <v>15325</v>
      </c>
      <c r="B10">
        <v>2020</v>
      </c>
      <c r="C10" t="s">
        <v>13</v>
      </c>
      <c r="D10">
        <v>1</v>
      </c>
      <c r="E10" t="str">
        <f>VLOOKUP(A10,[1]Hoja1!$D:$E,2,0)</f>
        <v>GUAYATÁ</v>
      </c>
    </row>
    <row r="11" spans="1:5">
      <c r="A11">
        <v>15572</v>
      </c>
      <c r="B11">
        <v>2020</v>
      </c>
      <c r="C11" t="s">
        <v>13</v>
      </c>
      <c r="D11">
        <v>1</v>
      </c>
      <c r="E11" t="str">
        <f>VLOOKUP(A11,[1]Hoja1!$D:$E,2,0)</f>
        <v>PUERTO BOYACÁ</v>
      </c>
    </row>
    <row r="12" spans="1:5">
      <c r="A12">
        <v>15667</v>
      </c>
      <c r="B12">
        <v>2024</v>
      </c>
      <c r="C12" t="s">
        <v>52</v>
      </c>
      <c r="D12">
        <v>1</v>
      </c>
      <c r="E12" t="str">
        <f>VLOOKUP(A12,[1]Hoja1!$D:$E,2,0)</f>
        <v>SAN LUIS DE GACENO</v>
      </c>
    </row>
    <row r="13" spans="1:5">
      <c r="A13">
        <v>15686</v>
      </c>
      <c r="B13">
        <v>2023</v>
      </c>
      <c r="C13" t="s">
        <v>13</v>
      </c>
      <c r="D13">
        <v>1</v>
      </c>
      <c r="E13" t="str">
        <f>VLOOKUP(A13,[1]Hoja1!$D:$E,2,0)</f>
        <v>SANTANA</v>
      </c>
    </row>
    <row r="14" spans="1:5">
      <c r="A14">
        <v>15757</v>
      </c>
      <c r="B14">
        <v>2021</v>
      </c>
      <c r="C14" t="s">
        <v>13</v>
      </c>
      <c r="D14">
        <v>1</v>
      </c>
      <c r="E14" t="str">
        <f>VLOOKUP(A14,[1]Hoja1!$D:$E,2,0)</f>
        <v>SOCHA</v>
      </c>
    </row>
    <row r="15" spans="1:5">
      <c r="A15">
        <v>15759</v>
      </c>
      <c r="B15">
        <v>2024</v>
      </c>
      <c r="C15" t="s">
        <v>13</v>
      </c>
      <c r="D15">
        <v>2</v>
      </c>
      <c r="E15" t="str">
        <f>VLOOKUP(A15,[1]Hoja1!$D:$E,2,0)</f>
        <v>SOGAMOSO</v>
      </c>
    </row>
    <row r="16" spans="1:5">
      <c r="A16">
        <v>15759</v>
      </c>
      <c r="B16">
        <v>2023</v>
      </c>
      <c r="C16" t="s">
        <v>12</v>
      </c>
      <c r="D16">
        <v>1</v>
      </c>
      <c r="E16" t="str">
        <f>VLOOKUP(A16,[1]Hoja1!$D:$E,2,0)</f>
        <v>SOGAMOSO</v>
      </c>
    </row>
    <row r="17" spans="1:5">
      <c r="A17">
        <v>15814</v>
      </c>
      <c r="B17">
        <v>2024</v>
      </c>
      <c r="C17" t="s">
        <v>13</v>
      </c>
      <c r="D17">
        <v>1</v>
      </c>
      <c r="E17" t="str">
        <f>VLOOKUP(A17,[1]Hoja1!$D:$E,2,0)</f>
        <v>TOCA</v>
      </c>
    </row>
    <row r="18" spans="1:5">
      <c r="A18">
        <v>15814</v>
      </c>
      <c r="B18">
        <v>2022</v>
      </c>
      <c r="C18" t="s">
        <v>12</v>
      </c>
      <c r="D18">
        <v>1</v>
      </c>
      <c r="E18" t="str">
        <f>VLOOKUP(A18,[1]Hoja1!$D:$E,2,0)</f>
        <v>TOCA</v>
      </c>
    </row>
    <row r="19" spans="1:5">
      <c r="A19">
        <v>15832</v>
      </c>
      <c r="B19">
        <v>2021</v>
      </c>
      <c r="C19" t="s">
        <v>13</v>
      </c>
      <c r="D19">
        <v>1</v>
      </c>
      <c r="E19" t="str">
        <f>VLOOKUP(A19,[1]Hoja1!$D:$E,2,0)</f>
        <v>TUNUNGUÁ</v>
      </c>
    </row>
    <row r="20" spans="1:5">
      <c r="A20">
        <v>15835</v>
      </c>
      <c r="B20">
        <v>2024</v>
      </c>
      <c r="C20" t="s">
        <v>13</v>
      </c>
      <c r="D20">
        <v>1</v>
      </c>
      <c r="E20" t="str">
        <f>VLOOKUP(A20,[1]Hoja1!$D:$E,2,0)</f>
        <v>TURMEQUÉ</v>
      </c>
    </row>
    <row r="21" spans="1:5">
      <c r="A21">
        <v>15897</v>
      </c>
      <c r="B21">
        <v>2024</v>
      </c>
      <c r="C21" t="s">
        <v>13</v>
      </c>
      <c r="D21">
        <v>1</v>
      </c>
      <c r="E21" t="str">
        <f>VLOOKUP(A21,[1]Hoja1!$D:$E,2,0)</f>
        <v>ZETAQUIRA</v>
      </c>
    </row>
    <row r="22" spans="1:5">
      <c r="A22">
        <v>15572</v>
      </c>
      <c r="B22">
        <v>2023</v>
      </c>
      <c r="C22" t="s">
        <v>13</v>
      </c>
      <c r="D22">
        <v>1</v>
      </c>
      <c r="E22" t="str">
        <f>VLOOKUP(A22,[1]Hoja1!$D:$E,2,0)</f>
        <v>PUERTO BOYACÁ</v>
      </c>
    </row>
    <row r="23" spans="1:5">
      <c r="A23">
        <v>15572</v>
      </c>
      <c r="B23">
        <v>2025</v>
      </c>
      <c r="C23" t="s">
        <v>13</v>
      </c>
      <c r="D23">
        <v>1</v>
      </c>
      <c r="E23" t="str">
        <f>VLOOKUP(A23,[1]Hoja1!$D:$E,2,0)</f>
        <v>PUERTO BOYACÁ</v>
      </c>
    </row>
    <row r="24" spans="1:5">
      <c r="A24">
        <v>15176</v>
      </c>
      <c r="B24">
        <v>2025</v>
      </c>
      <c r="C24" t="s">
        <v>64</v>
      </c>
      <c r="D24">
        <v>1</v>
      </c>
      <c r="E24" t="str">
        <f>VLOOKUP(A24,[1]Hoja1!$D:$E,2,0)</f>
        <v>CHIQUINQUIRÁ</v>
      </c>
    </row>
    <row r="25" spans="1:5" ht="15.75" customHeight="1">
      <c r="A25" s="4"/>
      <c r="B25" s="4"/>
    </row>
    <row r="26" spans="1:5" ht="15" customHeight="1">
      <c r="A26" s="1" t="s">
        <v>18</v>
      </c>
      <c r="B26" s="1"/>
      <c r="C26" s="1" t="s">
        <v>23</v>
      </c>
    </row>
    <row r="27" spans="1:5" ht="15" customHeight="1">
      <c r="A27" s="1" t="s">
        <v>24</v>
      </c>
      <c r="B27" s="1"/>
      <c r="C27" s="1" t="s">
        <v>25</v>
      </c>
    </row>
    <row r="28" spans="1:5" ht="15" customHeight="1">
      <c r="A28" s="1" t="s">
        <v>2</v>
      </c>
      <c r="B28" s="1"/>
      <c r="C28" s="1" t="s">
        <v>61</v>
      </c>
    </row>
    <row r="29" spans="1:5" ht="15" customHeight="1">
      <c r="A29" s="1" t="s">
        <v>15</v>
      </c>
      <c r="B29" s="1"/>
      <c r="C29" s="1" t="s">
        <v>26</v>
      </c>
    </row>
  </sheetData>
  <autoFilter ref="A1:E24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9094-5EBC-439C-9B67-BF2A6B8BAB4A}">
  <dimension ref="A1:E1002"/>
  <sheetViews>
    <sheetView topLeftCell="A13" workbookViewId="0">
      <selection activeCell="B15" sqref="B15"/>
    </sheetView>
  </sheetViews>
  <sheetFormatPr baseColWidth="10" defaultColWidth="14.42578125" defaultRowHeight="15" customHeight="1"/>
  <cols>
    <col min="1" max="1" width="23.85546875" bestFit="1" customWidth="1"/>
    <col min="2" max="15" width="10.7109375" customWidth="1"/>
  </cols>
  <sheetData>
    <row r="1" spans="1:5">
      <c r="A1" s="5" t="s">
        <v>27</v>
      </c>
      <c r="B1" s="7" t="s">
        <v>60</v>
      </c>
      <c r="E1" s="2"/>
    </row>
    <row r="2" spans="1:5">
      <c r="A2" s="7" t="s">
        <v>28</v>
      </c>
      <c r="B2" s="15">
        <v>12</v>
      </c>
    </row>
    <row r="3" spans="1:5">
      <c r="A3" s="7" t="s">
        <v>29</v>
      </c>
      <c r="B3" s="15">
        <v>2</v>
      </c>
    </row>
    <row r="4" spans="1:5">
      <c r="A4" s="7" t="s">
        <v>30</v>
      </c>
      <c r="B4" s="15">
        <v>1</v>
      </c>
    </row>
    <row r="5" spans="1:5">
      <c r="A5" s="7" t="s">
        <v>31</v>
      </c>
      <c r="B5" s="15">
        <v>3</v>
      </c>
    </row>
    <row r="6" spans="1:5">
      <c r="A6" s="7" t="s">
        <v>32</v>
      </c>
      <c r="B6" s="15">
        <v>1</v>
      </c>
    </row>
    <row r="7" spans="1:5">
      <c r="A7" s="7" t="s">
        <v>33</v>
      </c>
      <c r="B7" s="15">
        <v>1</v>
      </c>
    </row>
    <row r="8" spans="1:5">
      <c r="A8" s="7" t="s">
        <v>34</v>
      </c>
      <c r="B8" s="15">
        <v>1</v>
      </c>
    </row>
    <row r="9" spans="1:5">
      <c r="A9" s="7" t="s">
        <v>53</v>
      </c>
      <c r="B9" s="15">
        <v>1</v>
      </c>
    </row>
    <row r="10" spans="1:5">
      <c r="A10" s="7" t="s">
        <v>35</v>
      </c>
      <c r="B10" s="15">
        <v>1</v>
      </c>
    </row>
    <row r="11" spans="1:5">
      <c r="A11" s="7" t="s">
        <v>65</v>
      </c>
      <c r="B11" s="16">
        <v>2</v>
      </c>
    </row>
    <row r="13" spans="1:5">
      <c r="A13" s="1" t="s">
        <v>4</v>
      </c>
      <c r="B13" s="1" t="s">
        <v>36</v>
      </c>
    </row>
    <row r="14" spans="1:5">
      <c r="A14" s="1" t="s">
        <v>37</v>
      </c>
      <c r="B14" s="1" t="s">
        <v>66</v>
      </c>
    </row>
    <row r="15" spans="1:5">
      <c r="A15" s="1" t="s">
        <v>15</v>
      </c>
      <c r="B15" s="1" t="s">
        <v>27</v>
      </c>
    </row>
    <row r="16" spans="1:5">
      <c r="A16" s="1" t="s">
        <v>17</v>
      </c>
      <c r="B16" s="1" t="s">
        <v>57</v>
      </c>
    </row>
    <row r="17" spans="1:2" ht="15" customHeight="1">
      <c r="A17" s="1"/>
      <c r="B17" s="1"/>
    </row>
    <row r="18" spans="1:2" ht="15" customHeight="1">
      <c r="A18" s="1" t="s">
        <v>18</v>
      </c>
      <c r="B18" s="1" t="s">
        <v>19</v>
      </c>
    </row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O9"/>
  <sheetViews>
    <sheetView zoomScale="80" zoomScaleNormal="80" workbookViewId="0">
      <selection activeCell="O21" sqref="O21"/>
    </sheetView>
  </sheetViews>
  <sheetFormatPr baseColWidth="10" defaultColWidth="11.42578125" defaultRowHeight="15"/>
  <sheetData>
    <row r="1" spans="1:67">
      <c r="A1" t="s">
        <v>50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t="s">
        <v>102</v>
      </c>
      <c r="AL1" t="s">
        <v>103</v>
      </c>
      <c r="AM1" t="s">
        <v>104</v>
      </c>
      <c r="AN1" t="s">
        <v>105</v>
      </c>
      <c r="AO1" t="s">
        <v>106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112</v>
      </c>
      <c r="AV1" t="s">
        <v>113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t="s">
        <v>119</v>
      </c>
      <c r="BC1" t="s">
        <v>120</v>
      </c>
      <c r="BD1" s="17" t="s">
        <v>121</v>
      </c>
      <c r="BE1" s="17" t="s">
        <v>122</v>
      </c>
      <c r="BF1" s="17" t="s">
        <v>123</v>
      </c>
      <c r="BG1" s="17" t="s">
        <v>124</v>
      </c>
      <c r="BH1" s="17" t="s">
        <v>125</v>
      </c>
      <c r="BI1" s="17" t="s">
        <v>126</v>
      </c>
      <c r="BJ1" s="17" t="s">
        <v>127</v>
      </c>
      <c r="BK1" s="17" t="s">
        <v>128</v>
      </c>
      <c r="BL1" s="17" t="s">
        <v>129</v>
      </c>
      <c r="BM1" s="17" t="s">
        <v>130</v>
      </c>
      <c r="BN1" s="17" t="s">
        <v>131</v>
      </c>
      <c r="BO1" s="17" t="s">
        <v>132</v>
      </c>
    </row>
    <row r="2" spans="1:67">
      <c r="A2" t="s">
        <v>51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12">
        <v>1</v>
      </c>
      <c r="J2" s="12">
        <v>1</v>
      </c>
      <c r="K2" s="12">
        <v>1</v>
      </c>
      <c r="L2" s="12">
        <v>0</v>
      </c>
      <c r="M2" s="12">
        <v>0</v>
      </c>
      <c r="N2" s="12">
        <v>1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3</v>
      </c>
      <c r="Y2" s="12">
        <v>1</v>
      </c>
      <c r="Z2" s="12">
        <v>2</v>
      </c>
      <c r="AA2" s="12">
        <v>0</v>
      </c>
      <c r="AB2" s="12">
        <v>0</v>
      </c>
      <c r="AC2" s="12">
        <v>0</v>
      </c>
      <c r="AD2" s="12">
        <v>0</v>
      </c>
      <c r="AE2" s="12">
        <v>1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3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1</v>
      </c>
      <c r="AW2" s="12">
        <v>0</v>
      </c>
      <c r="AX2" s="12">
        <v>0</v>
      </c>
      <c r="AY2" s="12">
        <v>1</v>
      </c>
      <c r="AZ2" s="12">
        <v>1</v>
      </c>
      <c r="BA2" s="12">
        <v>0</v>
      </c>
      <c r="BB2" s="12">
        <v>0</v>
      </c>
      <c r="BC2" s="12">
        <v>0</v>
      </c>
      <c r="BD2" s="12">
        <v>2</v>
      </c>
      <c r="BE2" s="12">
        <v>1</v>
      </c>
      <c r="BF2" s="12">
        <v>1</v>
      </c>
      <c r="BG2" s="12">
        <v>2</v>
      </c>
      <c r="BH2" s="12">
        <v>0</v>
      </c>
      <c r="BI2" s="12">
        <v>0</v>
      </c>
      <c r="BJ2" s="12">
        <v>1</v>
      </c>
      <c r="BK2" s="12">
        <v>0</v>
      </c>
      <c r="BL2" s="12">
        <v>1</v>
      </c>
      <c r="BM2" s="12">
        <v>0</v>
      </c>
      <c r="BN2" s="12">
        <v>0</v>
      </c>
      <c r="BO2" s="12">
        <v>0</v>
      </c>
    </row>
    <row r="4" spans="1:67">
      <c r="A4" s="1" t="s">
        <v>24</v>
      </c>
      <c r="B4" s="1" t="s">
        <v>54</v>
      </c>
      <c r="C4" s="1"/>
      <c r="D4" s="1"/>
    </row>
    <row r="5" spans="1:67">
      <c r="A5" s="1" t="s">
        <v>2</v>
      </c>
      <c r="B5" s="1" t="s">
        <v>38</v>
      </c>
      <c r="C5" s="1"/>
      <c r="D5" s="1"/>
    </row>
    <row r="6" spans="1:67">
      <c r="A6" s="1" t="s">
        <v>15</v>
      </c>
      <c r="B6" s="1" t="s">
        <v>26</v>
      </c>
      <c r="C6" s="1"/>
      <c r="D6" s="1"/>
    </row>
    <row r="7" spans="1:67">
      <c r="A7" s="1" t="s">
        <v>17</v>
      </c>
      <c r="B7" s="1" t="s">
        <v>39</v>
      </c>
      <c r="C7" s="1"/>
      <c r="D7" s="1"/>
    </row>
    <row r="9" spans="1:67">
      <c r="A9" t="s">
        <v>18</v>
      </c>
      <c r="B9" t="s">
        <v>40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F10C-DD86-465C-B313-36E1B0A1E55C}">
  <dimension ref="A1:E1000"/>
  <sheetViews>
    <sheetView workbookViewId="0">
      <selection activeCell="F14" sqref="F14"/>
    </sheetView>
  </sheetViews>
  <sheetFormatPr baseColWidth="10" defaultColWidth="14.42578125" defaultRowHeight="15" customHeight="1"/>
  <cols>
    <col min="1" max="1" width="32.42578125" customWidth="1"/>
    <col min="2" max="15" width="10.7109375" customWidth="1"/>
  </cols>
  <sheetData>
    <row r="1" spans="1:5">
      <c r="A1" s="5" t="s">
        <v>41</v>
      </c>
      <c r="B1" s="7" t="s">
        <v>133</v>
      </c>
      <c r="E1" s="2"/>
    </row>
    <row r="2" spans="1:5">
      <c r="A2" s="7" t="s">
        <v>42</v>
      </c>
      <c r="B2" s="14">
        <v>16</v>
      </c>
    </row>
    <row r="3" spans="1:5">
      <c r="A3" s="7" t="s">
        <v>43</v>
      </c>
      <c r="B3" s="14">
        <v>1</v>
      </c>
    </row>
    <row r="4" spans="1:5">
      <c r="A4" s="7" t="s">
        <v>44</v>
      </c>
      <c r="B4" s="14">
        <v>3</v>
      </c>
    </row>
    <row r="5" spans="1:5">
      <c r="A5" s="7" t="s">
        <v>55</v>
      </c>
      <c r="B5" s="14">
        <v>1</v>
      </c>
    </row>
    <row r="6" spans="1:5">
      <c r="A6" s="7" t="s">
        <v>45</v>
      </c>
      <c r="B6" s="14">
        <v>1</v>
      </c>
    </row>
    <row r="7" spans="1:5">
      <c r="A7" s="7" t="s">
        <v>56</v>
      </c>
      <c r="B7" s="14">
        <v>1</v>
      </c>
    </row>
    <row r="8" spans="1:5">
      <c r="A8" s="7" t="s">
        <v>134</v>
      </c>
      <c r="B8" s="14">
        <v>1</v>
      </c>
    </row>
    <row r="9" spans="1:5">
      <c r="A9" s="7" t="s">
        <v>46</v>
      </c>
      <c r="B9" s="14">
        <v>1</v>
      </c>
    </row>
    <row r="11" spans="1:5">
      <c r="A11" s="1" t="s">
        <v>4</v>
      </c>
      <c r="B11" s="1" t="s">
        <v>47</v>
      </c>
    </row>
    <row r="12" spans="1:5">
      <c r="A12" s="1" t="s">
        <v>37</v>
      </c>
      <c r="B12" s="1" t="s">
        <v>136</v>
      </c>
    </row>
    <row r="13" spans="1:5">
      <c r="A13" s="1" t="s">
        <v>15</v>
      </c>
      <c r="B13" s="1" t="s">
        <v>48</v>
      </c>
    </row>
    <row r="14" spans="1:5">
      <c r="A14" s="1" t="s">
        <v>17</v>
      </c>
      <c r="B14" s="1" t="s">
        <v>135</v>
      </c>
    </row>
    <row r="15" spans="1:5" ht="15" customHeight="1">
      <c r="A15" s="1"/>
      <c r="B15" s="1"/>
    </row>
    <row r="16" spans="1:5" ht="15" customHeight="1">
      <c r="A16" s="1" t="s">
        <v>18</v>
      </c>
      <c r="B1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Castellanos</dc:creator>
  <cp:keywords/>
  <dc:description/>
  <cp:lastModifiedBy>RED DE OBSERVATORIOS</cp:lastModifiedBy>
  <cp:revision/>
  <dcterms:created xsi:type="dcterms:W3CDTF">2022-08-04T13:33:08Z</dcterms:created>
  <dcterms:modified xsi:type="dcterms:W3CDTF">2025-10-10T21:41:06Z</dcterms:modified>
  <cp:category/>
  <cp:contentStatus/>
</cp:coreProperties>
</file>