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1782D61-D0C9-40B5-BF23-8CA37DA4D8B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10" r:id="rId5"/>
    <sheet name="data6" sheetId="8" r:id="rId6"/>
  </sheets>
  <definedNames>
    <definedName name="_xlnm._FilterDatabase" localSheetId="2" hidden="1">data2!$A$1:$F$95</definedName>
  </definedNames>
  <calcPr calcId="191029"/>
  <extLs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F13" i="2" l="1"/>
  <c r="G13" i="2"/>
  <c r="I12" i="2"/>
  <c r="I13" i="2"/>
  <c r="E13" i="2"/>
  <c r="D13" i="2"/>
  <c r="C13" i="2"/>
  <c r="H13" i="2"/>
  <c r="C13" i="10"/>
  <c r="E12" i="10"/>
  <c r="D13" i="10"/>
  <c r="E11" i="10" l="1"/>
  <c r="E10" i="10"/>
  <c r="I11" i="2"/>
  <c r="I10" i="2"/>
  <c r="I9" i="2"/>
  <c r="I8" i="2"/>
  <c r="I7" i="2"/>
  <c r="I6" i="2"/>
  <c r="I5" i="2"/>
  <c r="I4" i="2"/>
  <c r="I3" i="2"/>
  <c r="I2" i="2"/>
  <c r="E9" i="10"/>
  <c r="E8" i="10"/>
  <c r="E7" i="10"/>
  <c r="E6" i="10"/>
  <c r="E5" i="10"/>
  <c r="E4" i="10"/>
  <c r="E3" i="10"/>
  <c r="E2" i="10"/>
  <c r="E1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<sst xmlns="http://schemas.openxmlformats.org/spreadsheetml/2006/main" count="630" uniqueCount="171">
  <si>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</si>
  <si>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</si>
  <si>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</si>
  <si>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</si>
  <si>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</si>
  <si>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</si>
  <si>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</si>
  <si>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</si>
  <si>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Rango de edad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</si>
  <si>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</si>
  <si>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</si>
  <si>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</si>
  <si>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</si>
  <si>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</si>
  <si>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</si>
  <si>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</si>
  <si>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</si>
  <si>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</si>
  <si>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</si>
  <si>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</si>
  <si>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</si>
  <si>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</si>
  <si>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</si>
  <si>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</si>
  <si>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</si>
  <si>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</si>
  <si>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</si>
  <si>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</si>
  <si>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</si>
  <si>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</si>
  <si>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</si>
  <si>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</si>
  <si>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</si>
  <si>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</si>
  <si>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</si>
  <si>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</si>
  <si>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</si>
  <si>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</si>
  <si>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</si>
  <si>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</si>
  <si>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</si>
  <si>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</si>
  <si>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</si>
  <si>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</si>
  <si>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</si>
  <si>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</si>
  <si>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</si>
  <si>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</si>
  <si>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</si>
  <si>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</si>
  <si>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</si>
  <si>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</si>
  <si>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</si>
  <si>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</si>
  <si>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</si>
  <si>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</si>
  <si>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</si>
  <si>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</si>
  <si>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</si>
  <si>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</si>
  <si>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</si>
  <si>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</si>
  <si>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</si>
  <si>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</si>
  <si>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</si>
  <si>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</si>
  <si>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</si>
  <si>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</si>
  <si>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</si>
  <si>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</si>
  <si>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</si>
  <si>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</si>
  <si>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</si>
  <si>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</si>
  <si>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</si>
  <si>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</si>
  <si>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</si>
  <si>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</si>
  <si>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</si>
  <si>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Número de casos de Leucemia Aguda Pediátrica en Boyacá</t>
  </si>
  <si>
    <t>Ciclo de vida</t>
  </si>
  <si>
    <t>Infancia (6 a 11 años)</t>
  </si>
  <si>
    <t>Adolescencia (12 a 17 años)</t>
  </si>
  <si>
    <t>15001</t>
  </si>
  <si>
    <t>Masculino</t>
  </si>
  <si>
    <t>Femenino</t>
  </si>
  <si>
    <t>15087</t>
  </si>
  <si>
    <t>15104</t>
  </si>
  <si>
    <t>15176</t>
  </si>
  <si>
    <t>15189</t>
  </si>
  <si>
    <t>15204</t>
  </si>
  <si>
    <t>15223</t>
  </si>
  <si>
    <t>15238</t>
  </si>
  <si>
    <t>15244</t>
  </si>
  <si>
    <t>15272</t>
  </si>
  <si>
    <t>15293</t>
  </si>
  <si>
    <t>15299</t>
  </si>
  <si>
    <t>15407</t>
  </si>
  <si>
    <t>15455</t>
  </si>
  <si>
    <t>15491</t>
  </si>
  <si>
    <t>15516</t>
  </si>
  <si>
    <t>15572</t>
  </si>
  <si>
    <t>15646</t>
  </si>
  <si>
    <t>15759</t>
  </si>
  <si>
    <t>15790</t>
  </si>
  <si>
    <t>15816</t>
  </si>
  <si>
    <t>15837</t>
  </si>
  <si>
    <t>15842</t>
  </si>
  <si>
    <t>15861</t>
  </si>
  <si>
    <t>Número de casos de Leucemia Aguda Pediátrica en cada municipio</t>
  </si>
  <si>
    <t>Número de casos de Leucemia Aguda Pediátrica por genero, edad y municipio</t>
  </si>
  <si>
    <t>LAP LINFOIDE</t>
  </si>
  <si>
    <t>LAP MIELOIDE</t>
  </si>
  <si>
    <t>Número de casos de Leucemia Aguda Pediátrica por tipo de Leucemia</t>
  </si>
  <si>
    <t>Tipo Leucemia</t>
  </si>
  <si>
    <t>Secretaria de Salud Departamental</t>
  </si>
  <si>
    <t>2020</t>
  </si>
  <si>
    <t>Primera Infancia (0 a 5 años)</t>
  </si>
  <si>
    <t>2021</t>
  </si>
  <si>
    <t>2022</t>
  </si>
  <si>
    <t>2023</t>
  </si>
  <si>
    <t>2024</t>
  </si>
  <si>
    <t>15185</t>
  </si>
  <si>
    <t>15425</t>
  </si>
  <si>
    <t>15507</t>
  </si>
  <si>
    <t>15664</t>
  </si>
  <si>
    <t>15673</t>
  </si>
  <si>
    <t>15681</t>
  </si>
  <si>
    <t>15740</t>
  </si>
  <si>
    <t>15757</t>
  </si>
  <si>
    <t>Leucemia Linfoide Aguda / Primera infancia (0 a 5 años)</t>
  </si>
  <si>
    <t>Leucemia Linfoide Aguda / Infancia (6 a 11 años)</t>
  </si>
  <si>
    <t>Leucemia Linfoide Aguda / Adolescencia (12 a 17 años)</t>
  </si>
  <si>
    <t>Leucemia Mieloide Aguda / Primera infancia (0 a 5 años)</t>
  </si>
  <si>
    <t>Leucemia Mieloide Aguda / Infancia (6 a 11 años)</t>
  </si>
  <si>
    <t>Leucemia Mieloide Aguda / Adolescencia (12 a 17 años)</t>
  </si>
  <si>
    <t>Leucemia linfoide aguda</t>
  </si>
  <si>
    <t>Leucemia mieloide aguda</t>
  </si>
  <si>
    <t>Número total de casos de Leucemia Aguda Pediátrica distribuídos por Sexo y Tipo de Leucemia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</si>
  <si>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</si>
  <si>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</si>
  <si>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</si>
  <si>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</si>
  <si>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</si>
  <si>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</si>
  <si>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</si>
  <si>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</si>
  <si>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</si>
  <si>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</si>
  <si>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</si>
  <si>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</si>
  <si>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15047</t>
  </si>
  <si>
    <t>15804</t>
  </si>
  <si>
    <t>15600</t>
  </si>
  <si>
    <t>15332</t>
  </si>
  <si>
    <t>15224</t>
  </si>
  <si>
    <t>15276</t>
  </si>
  <si>
    <t>15542</t>
  </si>
  <si>
    <t>2025 Enero</t>
  </si>
  <si>
    <t>2025 Febrero</t>
  </si>
  <si>
    <t>2025 Marzo</t>
  </si>
  <si>
    <t>2025 Abril</t>
  </si>
  <si>
    <t>2025 Mayo</t>
  </si>
  <si>
    <t>2025 Junio</t>
  </si>
  <si>
    <t>Se presenta el número de casos por año y mes de Leucemia Aguda Pediátrica desde enero 2020 a junio 2025</t>
  </si>
  <si>
    <t>Número de casos de Leucemia aguda Pediátrica de enero 2020 a junio 2025</t>
  </si>
  <si>
    <t>La gráfica muestra el número de casos de Leucemia Aguda Pediátrica por ciclo de vida desde enero del año 2020 hasta junio 2025</t>
  </si>
  <si>
    <t>Número de casos de Leucemia Aguda Pediátrica por ciclo de vida de enero 2020 a junio 2025</t>
  </si>
  <si>
    <t>Se presenta la sumatoria total de casos de Leucemia Aguda Pediátrica distribuidos por genero y tipo de leucemia durante el período enero 2020 a junio 2025</t>
  </si>
  <si>
    <t>La gráfica muestra el número de casos de Leucemia Aguda Pediátrica clasificados por Tipo de Leucemia desde enero del 2020 hasta junio 2025</t>
  </si>
  <si>
    <t>Número de casos por año y mes de Leucemia aguda Pediátrica de enero del año 2020 a junio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</si>
</sst>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1" xfId="0" applyFont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9" fillId="0" borderId="0" xfId="0" applyFont="1"/>
    <xf numFmtId="0" fontId="3" fillId="0" borderId="2" xfId="0" applyFont="1" applyBorder="1"/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0" fontId="0" fillId="0" borderId="2" xfId="0" applyBorder="1"/>
    <xf numFmtId="0" fontId="3" fillId="0" borderId="2" xfId="0" applyFont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9" fillId="2" borderId="3" xfId="0" applyFont="1" applyFill="1" applyBorder="1"/>
    <xf numFmtId="0" fontId="0" fillId="0" borderId="0" xfId="0" applyAlignment="1">
      <alignment horizontal="left"/>
    </xf>
    <xf numFmtId="0" fontId="10" fillId="0" borderId="0" xfId="0" applyFont="1"/>
    <xf numFmtId="0" fontId="1" fillId="0" borderId="0" xfId="0" applyFont="1"/>
    <xf numFmtId="0" fontId="9" fillId="2" borderId="0" xfId="0" applyFont="1" applyFill="1"/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LEUCEMIA</a:t>
            </a:r>
            <a:r>
              <a:rPr lang="es-CO" b="1" baseline="0"/>
              <a:t> AGUDA PEDIÁTRICA POR CICLO DE VIDA Y TIPO DE LEUCEMIA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20244021629916514"/>
          <c:y val="2.2503512851514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data1!$A$2:$B$2</c:f>
              <c:strCache>
                <c:ptCount val="2"/>
                <c:pt idx="0">
                  <c:v>2020</c:v>
                </c:pt>
                <c:pt idx="1">
                  <c:v>Enero a Junio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data1!$C$2:$H$2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data1!$A$3:$B$3</c:f>
              <c:strCache>
                <c:ptCount val="2"/>
                <c:pt idx="0">
                  <c:v>2020</c:v>
                </c:pt>
                <c:pt idx="1">
                  <c:v>Julio a Diciembre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data1!$C$3:$H$3</c:f>
              <c:numCache>
                <c:formatCode>General</c:formatCode>
                <c:ptCount val="6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data1!$A$4:$B$4</c:f>
              <c:strCache>
                <c:ptCount val="2"/>
                <c:pt idx="0">
                  <c:v>2021</c:v>
                </c:pt>
                <c:pt idx="1">
                  <c:v>Enero a Junio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data1!$C$4:$H$4</c:f>
              <c:numCache>
                <c:formatCode>General</c:formatCode>
                <c:ptCount val="6"/>
                <c:pt idx="0">
                  <c:v>3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data1!$A$5:$B$5</c:f>
              <c:strCache>
                <c:ptCount val="2"/>
                <c:pt idx="0">
                  <c:v>2021</c:v>
                </c:pt>
                <c:pt idx="1">
                  <c:v>Julio a Diciembre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data1!$C$5:$H$5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7-45AD-8262-C87B367BE2B8}"/>
            </c:ext>
          </c:extLst>
        </c:ser>
        <c:ser>
          <c:idx val="4"/>
          <c:order val="4"/>
          <c:tx>
            <c:strRef>
              <c:f>data1!$A$6:$B$6</c:f>
              <c:strCache>
                <c:ptCount val="2"/>
                <c:pt idx="0">
                  <c:v>2022</c:v>
                </c:pt>
                <c:pt idx="1">
                  <c:v>Enero a Junio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data1!$C$6:$H$6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57-45AD-8262-C87B367BE2B8}"/>
            </c:ext>
          </c:extLst>
        </c:ser>
        <c:ser>
          <c:idx val="5"/>
          <c:order val="5"/>
          <c:tx>
            <c:strRef>
              <c:f>data1!$A$7:$B$7</c:f>
              <c:strCache>
                <c:ptCount val="2"/>
                <c:pt idx="0">
                  <c:v>2022</c:v>
                </c:pt>
                <c:pt idx="1">
                  <c:v>Julio a Diciembre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data1!$C$7:$H$7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57-45AD-8262-C87B367BE2B8}"/>
            </c:ext>
          </c:extLst>
        </c:ser>
        <c:ser>
          <c:idx val="6"/>
          <c:order val="6"/>
          <c:tx>
            <c:strRef>
              <c:f>data1!$A$8:$B$8</c:f>
              <c:strCache>
                <c:ptCount val="2"/>
                <c:pt idx="0">
                  <c:v>2023</c:v>
                </c:pt>
                <c:pt idx="1">
                  <c:v>Enero a Junio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data1!$C$8:$H$8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7-45AD-8262-C87B367BE2B8}"/>
            </c:ext>
          </c:extLst>
        </c:ser>
        <c:ser>
          <c:idx val="7"/>
          <c:order val="7"/>
          <c:tx>
            <c:strRef>
              <c:f>data1!$A$9:$B$9</c:f>
              <c:strCache>
                <c:ptCount val="2"/>
                <c:pt idx="0">
                  <c:v>2023</c:v>
                </c:pt>
                <c:pt idx="1">
                  <c:v>Julio a Diciembre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data1!$C$9:$H$9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57-45AD-8262-C87B367BE2B8}"/>
            </c:ext>
          </c:extLst>
        </c:ser>
        <c:ser>
          <c:idx val="8"/>
          <c:order val="8"/>
          <c:tx>
            <c:strRef>
              <c:f>data1!$A$10:$B$10</c:f>
              <c:strCache>
                <c:ptCount val="2"/>
                <c:pt idx="0">
                  <c:v>2024</c:v>
                </c:pt>
                <c:pt idx="1">
                  <c:v>Enero a Junio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data1!$C$10:$H$10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57-45AD-8262-C87B367BE2B8}"/>
            </c:ext>
          </c:extLst>
        </c:ser>
        <c:ser>
          <c:idx val="9"/>
          <c:order val="9"/>
          <c:tx>
            <c:strRef>
              <c:f>data1!$A$11:$B$11</c:f>
              <c:strCache>
                <c:ptCount val="2"/>
                <c:pt idx="0">
                  <c:v>2024</c:v>
                </c:pt>
                <c:pt idx="1">
                  <c:v>Julio a Diciembre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data1!$C$11:$H$11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57-45AD-8262-C87B367BE2B8}"/>
            </c:ext>
          </c:extLst>
        </c:ser>
        <c:ser>
          <c:idx val="10"/>
          <c:order val="10"/>
          <c:tx>
            <c:strRef>
              <c:f>data1!$A$12:$B$12</c:f>
              <c:strCache>
                <c:ptCount val="2"/>
                <c:pt idx="0">
                  <c:v>2025</c:v>
                </c:pt>
                <c:pt idx="1">
                  <c:v>Enero a Junio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data1!$C$1:$H$1</c:f>
              <c:strCache>
                <c:ptCount val="6"/>
                <c:pt idx="0">
                  <c:v>Leucemia Linfoide Aguda / Primera infancia (0 a 5 años)</c:v>
                </c:pt>
                <c:pt idx="1">
                  <c:v>Leucemia Linfoide Aguda / Infancia (6 a 11 años)</c:v>
                </c:pt>
                <c:pt idx="2">
                  <c:v>Leucemia Linfoide Aguda / Adolescencia (12 a 17 años)</c:v>
                </c:pt>
                <c:pt idx="3">
                  <c:v>Leucemia Mieloide Aguda / Primera infancia (0 a 5 años)</c:v>
                </c:pt>
                <c:pt idx="4">
                  <c:v>Leucemia Mieloide Aguda / Infancia (6 a 11 años)</c:v>
                </c:pt>
                <c:pt idx="5">
                  <c:v>Leucemia Mieloide Aguda / Adolescencia (12 a 17 años)</c:v>
                </c:pt>
              </c:strCache>
            </c:strRef>
          </c:cat>
          <c:val>
            <c:numRef>
              <c:f>data1!$C$12:$H$12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4-4659-BBE5-E27C0310B0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7644879992650391"/>
              <c:y val="0.80927386893268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LEUCEMIA AGUDA PEDIÁTRICA POR SEXO Y TIPO LEUCEMIA 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Leucemia linfoide aguda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35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ser>
          <c:idx val="1"/>
          <c:order val="1"/>
          <c:tx>
            <c:strRef>
              <c:f>data3!$C$1</c:f>
              <c:strCache>
                <c:ptCount val="1"/>
                <c:pt idx="0">
                  <c:v>Leucemia mieloide aguda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data3!$C$2:$C$3</c:f>
              <c:numCache>
                <c:formatCode>General</c:formatCode>
                <c:ptCount val="2"/>
                <c:pt idx="0">
                  <c:v>7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EB-4060-9621-E0C776CAC3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LEUCEMIA AGUDA PEDIATRICA </a:t>
            </a:r>
            <a:r>
              <a:rPr lang="es-CO" sz="1200" b="1" baseline="0"/>
              <a:t>POR TIPO DE LEUCEMIA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2002855068714424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LAP LINFOIDE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AA-4D74-9F22-21F8FBF15AB5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AA-4D74-9F22-21F8FBF15AB5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AA-4D74-9F22-21F8FBF15AB5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AA-4D74-9F22-21F8FBF15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data4!$C$2:$C$11</c:f>
              <c:numCache>
                <c:formatCode>General</c:formatCode>
                <c:ptCount val="10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  <c:pt idx="6">
                  <c:v>12</c:v>
                </c:pt>
                <c:pt idx="7">
                  <c:v>11</c:v>
                </c:pt>
                <c:pt idx="8">
                  <c:v>7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AA-4D74-9F22-21F8FBF15AB5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LAP MIELOIDE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data4!$A$2:$B$11</c:f>
              <c:multiLvlStrCache>
                <c:ptCount val="10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data4!$D$2:$D$11</c:f>
              <c:numCache>
                <c:formatCode>General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AA-4D74-9F22-21F8FBF15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Tipo de Leucemia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9466838849860232E-2"/>
          <c:y val="0.89920257237005696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LEUCEMIA AGUDA PEDIÁTRICA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data6!$A$1:$BN$1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data6!$A$2:$BN$2</c:f>
              <c:numCache>
                <c:formatCode>General</c:formatCode>
                <c:ptCount val="66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4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4</c:v>
                </c:pt>
                <c:pt idx="54">
                  <c:v>1</c:v>
                </c:pt>
                <c:pt idx="55">
                  <c:v>3</c:v>
                </c:pt>
                <c:pt idx="56">
                  <c:v>2</c:v>
                </c:pt>
                <c:pt idx="57">
                  <c:v>4</c:v>
                </c:pt>
                <c:pt idx="58">
                  <c:v>4</c:v>
                </c:pt>
                <c:pt idx="59">
                  <c:v>1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109535</xdr:colOff>
      <xdr:row>20</xdr:row>
      <xdr:rowOff>166687</xdr:rowOff>
    </xdr:from>
    <xdr:to>
      <xdr:col>16</xdr:col>
      <xdr:colOff>238125</xdr:colOff>
      <xdr:row>39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8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76200</xdr:rowOff>
    </xdr:from>
    <xdr:to>
      <xdr:col>9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C9DC16-C4DC-4743-B6A0-0556A7F1F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10</xdr:row>
      <xdr:rowOff>17462</xdr:rowOff>
    </xdr:from>
    <xdr:to>
      <xdr:col>17</xdr:col>
      <xdr:colOff>726281</xdr:colOff>
      <xdr:row>31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3" sqref="B3"/>
    </sheetView>
  </sheetViews>
  <sheetFormatPr baseColWidth="10" defaultColWidth="14.42578125" defaultRowHeight="15" customHeight="1"/>
  <sheetData>
    <row r="1" spans="1:2">
      <c r="A1" s="1" t="s">
        <v>14</v>
      </c>
      <c r="B1" s="1" t="s">
        <v>25</v>
      </c>
    </row>
    <row r="2" spans="1:2">
      <c r="A2" s="1" t="s">
        <v>15</v>
      </c>
      <c r="B2" s="1" t="s">
        <v>79</v>
      </c>
    </row>
    <row r="3" spans="1:2">
      <c r="A3" s="1" t="s">
        <v>0</v>
      </c>
      <c r="B3" s="1" t="s">
        <v>165</v>
      </c>
    </row>
    <row r="4" spans="1:2">
      <c r="A4" s="1" t="s">
        <v>16</v>
      </c>
      <c r="B4" s="1" t="s">
        <v>26</v>
      </c>
    </row>
    <row r="5" spans="1:2">
      <c r="A5" s="1" t="s">
        <v>1</v>
      </c>
      <c r="B5" s="5" t="s">
        <v>27</v>
      </c>
    </row>
    <row r="6" spans="1:2">
      <c r="A6" t="s">
        <v>2</v>
      </c>
      <c r="B6" s="1" t="s">
        <v>115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4"/>
  <sheetViews>
    <sheetView tabSelected="1" workbookViewId="0">
      <selection activeCell="L42" sqref="L42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9" width="9.140625" customWidth="1"/>
    <col min="10" max="22" width="10.7109375" customWidth="1"/>
  </cols>
  <sheetData>
    <row r="1" spans="1:12">
      <c r="A1" s="7" t="s">
        <v>3</v>
      </c>
      <c r="B1" s="7" t="s">
        <v>28</v>
      </c>
      <c r="C1" s="8" t="s">
        <v>130</v>
      </c>
      <c r="D1" s="8" t="s">
        <v>131</v>
      </c>
      <c r="E1" s="8" t="s">
        <v>132</v>
      </c>
      <c r="F1" s="8" t="s">
        <v>133</v>
      </c>
      <c r="G1" s="8" t="s">
        <v>134</v>
      </c>
      <c r="H1" s="8" t="s">
        <v>135</v>
      </c>
      <c r="I1" s="7" t="s">
        <v>4</v>
      </c>
      <c r="L1" s="2"/>
    </row>
    <row r="2" spans="1:12">
      <c r="A2" s="9">
        <v>2020</v>
      </c>
      <c r="B2" s="12" t="s">
        <v>29</v>
      </c>
      <c r="C2">
        <v>4</v>
      </c>
      <c r="D2">
        <v>1</v>
      </c>
      <c r="E2">
        <v>2</v>
      </c>
      <c r="I2" s="10">
        <f>SUM(C2:H2)</f>
        <v>7</v>
      </c>
    </row>
    <row r="3" spans="1:12">
      <c r="A3" s="9">
        <v>2020</v>
      </c>
      <c r="B3" s="12" t="s">
        <v>30</v>
      </c>
      <c r="C3">
        <v>1</v>
      </c>
      <c r="E3">
        <v>1</v>
      </c>
      <c r="G3">
        <v>1</v>
      </c>
      <c r="H3">
        <v>1</v>
      </c>
      <c r="I3" s="10">
        <f t="shared" ref="I3:I13" si="0">SUM(C3:H3)</f>
        <v>4</v>
      </c>
    </row>
    <row r="4" spans="1:12">
      <c r="A4" s="9">
        <v>2021</v>
      </c>
      <c r="B4" s="12" t="s">
        <v>29</v>
      </c>
      <c r="C4">
        <v>3</v>
      </c>
      <c r="E4">
        <v>1</v>
      </c>
      <c r="G4">
        <v>1</v>
      </c>
      <c r="I4" s="10">
        <f t="shared" si="0"/>
        <v>5</v>
      </c>
    </row>
    <row r="5" spans="1:12">
      <c r="A5" s="9">
        <v>2021</v>
      </c>
      <c r="B5" s="12" t="s">
        <v>30</v>
      </c>
      <c r="C5">
        <v>2</v>
      </c>
      <c r="D5">
        <v>4</v>
      </c>
      <c r="E5">
        <v>3</v>
      </c>
      <c r="G5">
        <v>2</v>
      </c>
      <c r="I5" s="10">
        <f t="shared" si="0"/>
        <v>11</v>
      </c>
    </row>
    <row r="6" spans="1:12">
      <c r="A6" s="9">
        <v>2022</v>
      </c>
      <c r="B6" s="12" t="s">
        <v>29</v>
      </c>
      <c r="C6">
        <v>1</v>
      </c>
      <c r="D6">
        <v>2</v>
      </c>
      <c r="E6">
        <v>1</v>
      </c>
      <c r="F6">
        <v>1</v>
      </c>
      <c r="I6" s="10">
        <f t="shared" si="0"/>
        <v>5</v>
      </c>
    </row>
    <row r="7" spans="1:12">
      <c r="A7" s="9">
        <v>2022</v>
      </c>
      <c r="B7" s="12" t="s">
        <v>30</v>
      </c>
      <c r="C7">
        <v>1</v>
      </c>
      <c r="D7">
        <v>1</v>
      </c>
      <c r="E7">
        <v>2</v>
      </c>
      <c r="H7">
        <v>2</v>
      </c>
      <c r="I7" s="10">
        <f t="shared" si="0"/>
        <v>6</v>
      </c>
    </row>
    <row r="8" spans="1:12">
      <c r="A8" s="9">
        <v>2023</v>
      </c>
      <c r="B8" s="12" t="s">
        <v>29</v>
      </c>
      <c r="C8">
        <v>6</v>
      </c>
      <c r="D8">
        <v>3</v>
      </c>
      <c r="E8">
        <v>3</v>
      </c>
      <c r="G8">
        <v>2</v>
      </c>
      <c r="I8" s="10">
        <f t="shared" si="0"/>
        <v>14</v>
      </c>
    </row>
    <row r="9" spans="1:12">
      <c r="A9" s="9">
        <v>2023</v>
      </c>
      <c r="B9" s="12" t="s">
        <v>30</v>
      </c>
      <c r="C9">
        <v>3</v>
      </c>
      <c r="D9">
        <v>5</v>
      </c>
      <c r="E9">
        <v>3</v>
      </c>
      <c r="G9">
        <v>1</v>
      </c>
      <c r="H9">
        <v>1</v>
      </c>
      <c r="I9" s="10">
        <f t="shared" si="0"/>
        <v>13</v>
      </c>
    </row>
    <row r="10" spans="1:12">
      <c r="A10" s="9">
        <v>2024</v>
      </c>
      <c r="B10" s="12" t="s">
        <v>29</v>
      </c>
      <c r="C10">
        <v>2</v>
      </c>
      <c r="D10">
        <v>2</v>
      </c>
      <c r="E10">
        <v>3</v>
      </c>
      <c r="G10">
        <v>1</v>
      </c>
      <c r="H10">
        <v>4</v>
      </c>
      <c r="I10" s="10">
        <f t="shared" si="0"/>
        <v>12</v>
      </c>
    </row>
    <row r="11" spans="1:12">
      <c r="A11" s="9">
        <v>2024</v>
      </c>
      <c r="B11" s="12" t="s">
        <v>30</v>
      </c>
      <c r="C11">
        <v>4</v>
      </c>
      <c r="D11">
        <v>7</v>
      </c>
      <c r="E11">
        <v>2</v>
      </c>
      <c r="H11">
        <v>2</v>
      </c>
      <c r="I11" s="10">
        <f t="shared" si="0"/>
        <v>15</v>
      </c>
    </row>
    <row r="12" spans="1:12">
      <c r="A12" s="9">
        <v>2025</v>
      </c>
      <c r="B12" s="18" t="s">
        <v>29</v>
      </c>
      <c r="C12">
        <v>3</v>
      </c>
      <c r="D12">
        <v>3</v>
      </c>
      <c r="E12">
        <v>5</v>
      </c>
      <c r="F12">
        <v>1</v>
      </c>
      <c r="H12">
        <v>1</v>
      </c>
      <c r="I12" s="10">
        <f>SUM(C12:H12)</f>
        <v>13</v>
      </c>
    </row>
    <row r="13" spans="1:12">
      <c r="A13" s="11" t="s">
        <v>21</v>
      </c>
      <c r="B13" s="11"/>
      <c r="C13" s="10">
        <f>SUM(C2:C12)</f>
        <v>30</v>
      </c>
      <c r="D13" s="10">
        <f>SUM(D2:D12)</f>
        <v>28</v>
      </c>
      <c r="E13" s="10">
        <f>SUM(E2:E12)</f>
        <v>26</v>
      </c>
      <c r="F13" s="10">
        <f>SUM(F2:F12)</f>
        <v>2</v>
      </c>
      <c r="G13" s="10">
        <f>SUM(G2:G12)</f>
        <v>8</v>
      </c>
      <c r="H13" s="10">
        <f>SUM(H2:H12)</f>
        <v>11</v>
      </c>
      <c r="I13" s="10">
        <f>SUM(C13:H13)</f>
        <v>105</v>
      </c>
    </row>
    <row r="15" spans="1:12">
      <c r="A15" s="1" t="s">
        <v>0</v>
      </c>
      <c r="B15" s="1" t="s">
        <v>167</v>
      </c>
      <c r="C15" s="1"/>
    </row>
    <row r="16" spans="1:12">
      <c r="A16" s="5" t="s">
        <v>15</v>
      </c>
      <c r="B16" s="1" t="s">
        <v>166</v>
      </c>
      <c r="C16" s="5"/>
    </row>
    <row r="17" spans="1:3">
      <c r="A17" s="1" t="s">
        <v>5</v>
      </c>
      <c r="B17" s="1" t="s">
        <v>80</v>
      </c>
      <c r="C17" s="1"/>
    </row>
    <row r="18" spans="1:3">
      <c r="A18" s="1" t="s">
        <v>7</v>
      </c>
      <c r="B18" s="1" t="s">
        <v>24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11</v>
      </c>
      <c r="B20" s="1" t="s">
        <v>17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00"/>
  <sheetViews>
    <sheetView topLeftCell="C1" workbookViewId="0">
      <selection activeCell="H85" sqref="H85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23.85546875" bestFit="1" customWidth="1"/>
    <col min="4" max="4" width="26" bestFit="1" customWidth="1"/>
    <col min="5" max="6" width="10.7109375" customWidth="1"/>
    <col min="7" max="7" width="17.5703125" bestFit="1" customWidth="1"/>
    <col min="8" max="8" width="26" bestFit="1" customWidth="1"/>
    <col min="9" max="9" width="25.140625" bestFit="1" customWidth="1"/>
    <col min="10" max="27" width="10.7109375" customWidth="1"/>
  </cols>
  <sheetData>
    <row r="1" spans="1:6">
      <c r="A1" s="3" t="s">
        <v>18</v>
      </c>
      <c r="B1" s="3" t="s">
        <v>3</v>
      </c>
      <c r="C1" s="3" t="s">
        <v>114</v>
      </c>
      <c r="D1" s="3" t="s">
        <v>8</v>
      </c>
      <c r="E1" s="3" t="s">
        <v>9</v>
      </c>
      <c r="F1" s="3" t="s">
        <v>10</v>
      </c>
    </row>
    <row r="2" spans="1:6" hidden="1">
      <c r="A2" s="15" t="s">
        <v>83</v>
      </c>
      <c r="B2" s="15" t="s">
        <v>116</v>
      </c>
      <c r="C2" s="15" t="s">
        <v>136</v>
      </c>
      <c r="D2" s="15" t="s">
        <v>81</v>
      </c>
      <c r="E2" s="15" t="s">
        <v>84</v>
      </c>
      <c r="F2" s="15">
        <v>1</v>
      </c>
    </row>
    <row r="3" spans="1:6" hidden="1">
      <c r="A3" s="15" t="s">
        <v>83</v>
      </c>
      <c r="B3" s="15" t="s">
        <v>116</v>
      </c>
      <c r="C3" s="15" t="s">
        <v>136</v>
      </c>
      <c r="D3" s="15" t="s">
        <v>117</v>
      </c>
      <c r="E3" s="15" t="s">
        <v>84</v>
      </c>
      <c r="F3" s="15">
        <v>1</v>
      </c>
    </row>
    <row r="4" spans="1:6" hidden="1">
      <c r="A4" s="15" t="s">
        <v>83</v>
      </c>
      <c r="B4" s="15" t="s">
        <v>118</v>
      </c>
      <c r="C4" s="15" t="s">
        <v>137</v>
      </c>
      <c r="D4" s="15" t="s">
        <v>81</v>
      </c>
      <c r="E4" s="15" t="s">
        <v>85</v>
      </c>
      <c r="F4" s="15">
        <v>1</v>
      </c>
    </row>
    <row r="5" spans="1:6" hidden="1">
      <c r="A5" s="15" t="s">
        <v>83</v>
      </c>
      <c r="B5" s="15" t="s">
        <v>119</v>
      </c>
      <c r="C5" s="15" t="s">
        <v>137</v>
      </c>
      <c r="D5" s="15" t="s">
        <v>117</v>
      </c>
      <c r="E5" s="15" t="s">
        <v>84</v>
      </c>
      <c r="F5" s="15">
        <v>1</v>
      </c>
    </row>
    <row r="6" spans="1:6" hidden="1">
      <c r="A6" s="15" t="s">
        <v>83</v>
      </c>
      <c r="B6" s="15" t="s">
        <v>120</v>
      </c>
      <c r="C6" s="15" t="s">
        <v>136</v>
      </c>
      <c r="D6" s="15" t="s">
        <v>117</v>
      </c>
      <c r="E6" s="15" t="s">
        <v>85</v>
      </c>
      <c r="F6" s="15">
        <v>1</v>
      </c>
    </row>
    <row r="7" spans="1:6" hidden="1">
      <c r="A7" s="15" t="s">
        <v>83</v>
      </c>
      <c r="B7" s="15" t="s">
        <v>120</v>
      </c>
      <c r="C7" s="15" t="s">
        <v>136</v>
      </c>
      <c r="D7" s="15" t="s">
        <v>117</v>
      </c>
      <c r="E7" s="15" t="s">
        <v>84</v>
      </c>
      <c r="F7" s="15">
        <v>1</v>
      </c>
    </row>
    <row r="8" spans="1:6" hidden="1">
      <c r="A8" s="15" t="s">
        <v>83</v>
      </c>
      <c r="B8" s="15" t="s">
        <v>121</v>
      </c>
      <c r="C8" s="15" t="s">
        <v>136</v>
      </c>
      <c r="D8" s="15" t="s">
        <v>82</v>
      </c>
      <c r="E8" s="15" t="s">
        <v>84</v>
      </c>
      <c r="F8" s="15">
        <v>1</v>
      </c>
    </row>
    <row r="9" spans="1:6" hidden="1">
      <c r="A9" s="15" t="s">
        <v>83</v>
      </c>
      <c r="B9" s="15" t="s">
        <v>121</v>
      </c>
      <c r="C9" s="15" t="s">
        <v>136</v>
      </c>
      <c r="D9" s="15" t="s">
        <v>81</v>
      </c>
      <c r="E9" s="15" t="s">
        <v>84</v>
      </c>
      <c r="F9" s="15">
        <v>1</v>
      </c>
    </row>
    <row r="10" spans="1:6" hidden="1">
      <c r="A10" s="15" t="s">
        <v>83</v>
      </c>
      <c r="B10" s="15" t="s">
        <v>121</v>
      </c>
      <c r="C10" s="15" t="s">
        <v>136</v>
      </c>
      <c r="D10" s="15" t="s">
        <v>117</v>
      </c>
      <c r="E10" s="15" t="s">
        <v>85</v>
      </c>
      <c r="F10" s="15">
        <v>1</v>
      </c>
    </row>
    <row r="11" spans="1:6" hidden="1">
      <c r="A11" s="15" t="s">
        <v>83</v>
      </c>
      <c r="B11" s="15" t="s">
        <v>121</v>
      </c>
      <c r="C11" s="15" t="s">
        <v>137</v>
      </c>
      <c r="D11" s="15" t="s">
        <v>82</v>
      </c>
      <c r="E11" s="15" t="s">
        <v>84</v>
      </c>
      <c r="F11" s="15">
        <v>3</v>
      </c>
    </row>
    <row r="12" spans="1:6" hidden="1">
      <c r="A12" s="15" t="s">
        <v>86</v>
      </c>
      <c r="B12" s="15" t="s">
        <v>116</v>
      </c>
      <c r="C12" s="15" t="s">
        <v>136</v>
      </c>
      <c r="D12" s="15" t="s">
        <v>117</v>
      </c>
      <c r="E12" s="15" t="s">
        <v>85</v>
      </c>
      <c r="F12" s="15">
        <v>1</v>
      </c>
    </row>
    <row r="13" spans="1:6" hidden="1">
      <c r="A13" s="15" t="s">
        <v>87</v>
      </c>
      <c r="B13" s="15" t="s">
        <v>116</v>
      </c>
      <c r="C13" s="15" t="s">
        <v>136</v>
      </c>
      <c r="D13" s="15" t="s">
        <v>82</v>
      </c>
      <c r="E13" s="15" t="s">
        <v>84</v>
      </c>
      <c r="F13" s="15">
        <v>1</v>
      </c>
    </row>
    <row r="14" spans="1:6" hidden="1">
      <c r="A14" s="15" t="s">
        <v>88</v>
      </c>
      <c r="B14" s="15" t="s">
        <v>116</v>
      </c>
      <c r="C14" s="15" t="s">
        <v>137</v>
      </c>
      <c r="D14" s="15" t="s">
        <v>81</v>
      </c>
      <c r="E14" s="15" t="s">
        <v>85</v>
      </c>
      <c r="F14" s="15">
        <v>1</v>
      </c>
    </row>
    <row r="15" spans="1:6" hidden="1">
      <c r="A15" s="15" t="s">
        <v>88</v>
      </c>
      <c r="B15" s="15" t="s">
        <v>120</v>
      </c>
      <c r="C15" s="15" t="s">
        <v>136</v>
      </c>
      <c r="D15" s="15" t="s">
        <v>117</v>
      </c>
      <c r="E15" s="15" t="s">
        <v>85</v>
      </c>
      <c r="F15" s="15">
        <v>1</v>
      </c>
    </row>
    <row r="16" spans="1:6" hidden="1">
      <c r="A16" s="15" t="s">
        <v>122</v>
      </c>
      <c r="B16" s="15" t="s">
        <v>118</v>
      </c>
      <c r="C16" s="15" t="s">
        <v>136</v>
      </c>
      <c r="D16" s="15" t="s">
        <v>82</v>
      </c>
      <c r="E16" s="15" t="s">
        <v>85</v>
      </c>
      <c r="F16" s="15">
        <v>1</v>
      </c>
    </row>
    <row r="17" spans="1:6" hidden="1">
      <c r="A17" s="15" t="s">
        <v>89</v>
      </c>
      <c r="B17" s="15" t="s">
        <v>119</v>
      </c>
      <c r="C17" s="15" t="s">
        <v>136</v>
      </c>
      <c r="D17" s="15" t="s">
        <v>117</v>
      </c>
      <c r="E17" s="15" t="s">
        <v>84</v>
      </c>
      <c r="F17" s="15">
        <v>1</v>
      </c>
    </row>
    <row r="18" spans="1:6" hidden="1">
      <c r="A18" s="15" t="s">
        <v>89</v>
      </c>
      <c r="B18" s="15" t="s">
        <v>121</v>
      </c>
      <c r="C18" s="15" t="s">
        <v>136</v>
      </c>
      <c r="D18" s="15" t="s">
        <v>81</v>
      </c>
      <c r="E18" s="15" t="s">
        <v>84</v>
      </c>
      <c r="F18" s="15">
        <v>1</v>
      </c>
    </row>
    <row r="19" spans="1:6" hidden="1">
      <c r="A19" s="16" t="s">
        <v>90</v>
      </c>
      <c r="B19" s="16" t="s">
        <v>119</v>
      </c>
      <c r="C19" s="16" t="s">
        <v>136</v>
      </c>
      <c r="D19" s="16" t="s">
        <v>81</v>
      </c>
      <c r="E19" s="16" t="s">
        <v>85</v>
      </c>
      <c r="F19" s="16">
        <v>1</v>
      </c>
    </row>
    <row r="20" spans="1:6" hidden="1">
      <c r="A20" s="16" t="s">
        <v>91</v>
      </c>
      <c r="B20" s="16" t="s">
        <v>120</v>
      </c>
      <c r="C20" s="16" t="s">
        <v>136</v>
      </c>
      <c r="D20" s="16" t="s">
        <v>82</v>
      </c>
      <c r="E20" s="16" t="s">
        <v>85</v>
      </c>
      <c r="F20" s="16">
        <v>1</v>
      </c>
    </row>
    <row r="21" spans="1:6" hidden="1">
      <c r="A21" s="16" t="s">
        <v>92</v>
      </c>
      <c r="B21" s="16" t="s">
        <v>116</v>
      </c>
      <c r="C21" s="16" t="s">
        <v>136</v>
      </c>
      <c r="D21" s="16" t="s">
        <v>117</v>
      </c>
      <c r="E21" s="16" t="s">
        <v>85</v>
      </c>
      <c r="F21" s="16">
        <v>1</v>
      </c>
    </row>
    <row r="22" spans="1:6" hidden="1">
      <c r="A22" s="16" t="s">
        <v>92</v>
      </c>
      <c r="B22" s="16" t="s">
        <v>118</v>
      </c>
      <c r="C22" s="16" t="s">
        <v>136</v>
      </c>
      <c r="D22" s="16" t="s">
        <v>82</v>
      </c>
      <c r="E22" s="16" t="s">
        <v>85</v>
      </c>
      <c r="F22" s="16">
        <v>1</v>
      </c>
    </row>
    <row r="23" spans="1:6" hidden="1">
      <c r="A23" s="16" t="s">
        <v>92</v>
      </c>
      <c r="B23" s="16" t="s">
        <v>118</v>
      </c>
      <c r="C23" s="16" t="s">
        <v>136</v>
      </c>
      <c r="D23" s="16" t="s">
        <v>82</v>
      </c>
      <c r="E23" s="16" t="s">
        <v>84</v>
      </c>
      <c r="F23" s="16">
        <v>1</v>
      </c>
    </row>
    <row r="24" spans="1:6" hidden="1">
      <c r="A24" s="16" t="s">
        <v>92</v>
      </c>
      <c r="B24" s="16" t="s">
        <v>118</v>
      </c>
      <c r="C24" s="16" t="s">
        <v>136</v>
      </c>
      <c r="D24" s="16" t="s">
        <v>81</v>
      </c>
      <c r="E24" s="16" t="s">
        <v>84</v>
      </c>
      <c r="F24" s="16">
        <v>2</v>
      </c>
    </row>
    <row r="25" spans="1:6" hidden="1">
      <c r="A25" s="16" t="s">
        <v>92</v>
      </c>
      <c r="B25" s="16" t="s">
        <v>118</v>
      </c>
      <c r="C25" s="16" t="s">
        <v>136</v>
      </c>
      <c r="D25" s="16" t="s">
        <v>117</v>
      </c>
      <c r="E25" s="16" t="s">
        <v>84</v>
      </c>
      <c r="F25" s="16">
        <v>1</v>
      </c>
    </row>
    <row r="26" spans="1:6" hidden="1">
      <c r="A26" s="16" t="s">
        <v>92</v>
      </c>
      <c r="B26" s="16" t="s">
        <v>119</v>
      </c>
      <c r="C26" s="16" t="s">
        <v>136</v>
      </c>
      <c r="D26" s="16" t="s">
        <v>81</v>
      </c>
      <c r="E26" s="16" t="s">
        <v>85</v>
      </c>
      <c r="F26" s="16">
        <v>1</v>
      </c>
    </row>
    <row r="27" spans="1:6" hidden="1">
      <c r="A27" s="16" t="s">
        <v>92</v>
      </c>
      <c r="B27" s="16" t="s">
        <v>119</v>
      </c>
      <c r="C27" s="16" t="s">
        <v>136</v>
      </c>
      <c r="D27" s="16" t="s">
        <v>117</v>
      </c>
      <c r="E27" s="16" t="s">
        <v>85</v>
      </c>
      <c r="F27" s="16">
        <v>1</v>
      </c>
    </row>
    <row r="28" spans="1:6" hidden="1">
      <c r="A28" s="16" t="s">
        <v>92</v>
      </c>
      <c r="B28" s="16" t="s">
        <v>120</v>
      </c>
      <c r="C28" s="16" t="s">
        <v>136</v>
      </c>
      <c r="D28" s="16" t="s">
        <v>81</v>
      </c>
      <c r="E28" s="16" t="s">
        <v>85</v>
      </c>
      <c r="F28" s="16">
        <v>1</v>
      </c>
    </row>
    <row r="29" spans="1:6" hidden="1">
      <c r="A29" s="16" t="s">
        <v>92</v>
      </c>
      <c r="B29" s="16" t="s">
        <v>120</v>
      </c>
      <c r="C29" s="16" t="s">
        <v>136</v>
      </c>
      <c r="D29" s="16" t="s">
        <v>81</v>
      </c>
      <c r="E29" s="16" t="s">
        <v>84</v>
      </c>
      <c r="F29" s="16">
        <v>2</v>
      </c>
    </row>
    <row r="30" spans="1:6" hidden="1">
      <c r="A30" s="16" t="s">
        <v>92</v>
      </c>
      <c r="B30" s="16" t="s">
        <v>120</v>
      </c>
      <c r="C30" s="16" t="s">
        <v>136</v>
      </c>
      <c r="D30" s="16" t="s">
        <v>117</v>
      </c>
      <c r="E30" s="16" t="s">
        <v>85</v>
      </c>
      <c r="F30" s="16">
        <v>1</v>
      </c>
    </row>
    <row r="31" spans="1:6" hidden="1">
      <c r="A31" s="16" t="s">
        <v>92</v>
      </c>
      <c r="B31" s="16" t="s">
        <v>120</v>
      </c>
      <c r="C31" s="16" t="s">
        <v>136</v>
      </c>
      <c r="D31" s="16" t="s">
        <v>117</v>
      </c>
      <c r="E31" s="16" t="s">
        <v>84</v>
      </c>
      <c r="F31" s="16">
        <v>1</v>
      </c>
    </row>
    <row r="32" spans="1:6" hidden="1">
      <c r="A32" s="16" t="s">
        <v>92</v>
      </c>
      <c r="B32" s="16" t="s">
        <v>121</v>
      </c>
      <c r="C32" s="16" t="s">
        <v>136</v>
      </c>
      <c r="D32" s="16" t="s">
        <v>82</v>
      </c>
      <c r="E32" s="16" t="s">
        <v>84</v>
      </c>
      <c r="F32" s="16">
        <v>2</v>
      </c>
    </row>
    <row r="33" spans="1:6" hidden="1">
      <c r="A33" s="16" t="s">
        <v>92</v>
      </c>
      <c r="B33" s="16" t="s">
        <v>121</v>
      </c>
      <c r="C33" s="16" t="s">
        <v>136</v>
      </c>
      <c r="D33" s="16" t="s">
        <v>81</v>
      </c>
      <c r="E33" s="16" t="s">
        <v>85</v>
      </c>
      <c r="F33" s="16">
        <v>2</v>
      </c>
    </row>
    <row r="34" spans="1:6" hidden="1">
      <c r="A34" s="16" t="s">
        <v>92</v>
      </c>
      <c r="B34" s="16" t="s">
        <v>121</v>
      </c>
      <c r="C34" s="16" t="s">
        <v>136</v>
      </c>
      <c r="D34" s="16" t="s">
        <v>81</v>
      </c>
      <c r="E34" s="16" t="s">
        <v>84</v>
      </c>
      <c r="F34" s="16">
        <v>3</v>
      </c>
    </row>
    <row r="35" spans="1:6" hidden="1">
      <c r="A35" s="16" t="s">
        <v>92</v>
      </c>
      <c r="B35" s="16" t="s">
        <v>121</v>
      </c>
      <c r="C35" s="16" t="s">
        <v>136</v>
      </c>
      <c r="D35" s="16" t="s">
        <v>117</v>
      </c>
      <c r="E35" s="16" t="s">
        <v>84</v>
      </c>
      <c r="F35" s="16">
        <v>2</v>
      </c>
    </row>
    <row r="36" spans="1:6" hidden="1">
      <c r="A36" s="16" t="s">
        <v>93</v>
      </c>
      <c r="B36" s="16" t="s">
        <v>119</v>
      </c>
      <c r="C36" s="16" t="s">
        <v>137</v>
      </c>
      <c r="D36" s="16" t="s">
        <v>82</v>
      </c>
      <c r="E36" s="16" t="s">
        <v>84</v>
      </c>
      <c r="F36" s="16">
        <v>1</v>
      </c>
    </row>
    <row r="37" spans="1:6" hidden="1">
      <c r="A37" s="16" t="s">
        <v>94</v>
      </c>
      <c r="B37" s="16" t="s">
        <v>120</v>
      </c>
      <c r="C37" s="16" t="s">
        <v>136</v>
      </c>
      <c r="D37" s="16" t="s">
        <v>82</v>
      </c>
      <c r="E37" s="16" t="s">
        <v>85</v>
      </c>
      <c r="F37" s="16">
        <v>1</v>
      </c>
    </row>
    <row r="38" spans="1:6" ht="15.75" hidden="1" customHeight="1">
      <c r="A38" s="16" t="s">
        <v>95</v>
      </c>
      <c r="B38" s="16" t="s">
        <v>119</v>
      </c>
      <c r="C38" s="16" t="s">
        <v>136</v>
      </c>
      <c r="D38" s="16" t="s">
        <v>81</v>
      </c>
      <c r="E38" s="16" t="s">
        <v>84</v>
      </c>
      <c r="F38" s="16">
        <v>1</v>
      </c>
    </row>
    <row r="39" spans="1:6" ht="15.75" hidden="1" customHeight="1">
      <c r="A39" s="16" t="s">
        <v>95</v>
      </c>
      <c r="B39" s="16" t="s">
        <v>120</v>
      </c>
      <c r="C39" s="16" t="s">
        <v>136</v>
      </c>
      <c r="D39" s="16" t="s">
        <v>81</v>
      </c>
      <c r="E39" s="16" t="s">
        <v>84</v>
      </c>
      <c r="F39" s="16">
        <v>1</v>
      </c>
    </row>
    <row r="40" spans="1:6" ht="15.75" hidden="1" customHeight="1">
      <c r="A40" s="16" t="s">
        <v>95</v>
      </c>
      <c r="B40" s="16" t="s">
        <v>120</v>
      </c>
      <c r="C40" s="16" t="s">
        <v>137</v>
      </c>
      <c r="D40" s="16" t="s">
        <v>81</v>
      </c>
      <c r="E40" s="16" t="s">
        <v>84</v>
      </c>
      <c r="F40" s="16">
        <v>1</v>
      </c>
    </row>
    <row r="41" spans="1:6" ht="15.75" hidden="1" customHeight="1">
      <c r="A41" s="16" t="s">
        <v>95</v>
      </c>
      <c r="B41" s="16" t="s">
        <v>121</v>
      </c>
      <c r="C41" s="16" t="s">
        <v>137</v>
      </c>
      <c r="D41" s="16" t="s">
        <v>81</v>
      </c>
      <c r="E41" s="16" t="s">
        <v>84</v>
      </c>
      <c r="F41" s="16">
        <v>1</v>
      </c>
    </row>
    <row r="42" spans="1:6" ht="15.75" hidden="1" customHeight="1">
      <c r="A42" s="16" t="s">
        <v>96</v>
      </c>
      <c r="B42" s="16" t="s">
        <v>116</v>
      </c>
      <c r="C42" s="16" t="s">
        <v>136</v>
      </c>
      <c r="D42" s="16" t="s">
        <v>117</v>
      </c>
      <c r="E42" s="16" t="s">
        <v>84</v>
      </c>
      <c r="F42" s="16">
        <v>1</v>
      </c>
    </row>
    <row r="43" spans="1:6" ht="15.75" hidden="1" customHeight="1">
      <c r="A43" s="16" t="s">
        <v>96</v>
      </c>
      <c r="B43" s="16" t="s">
        <v>120</v>
      </c>
      <c r="C43" s="16" t="s">
        <v>136</v>
      </c>
      <c r="D43" s="16" t="s">
        <v>117</v>
      </c>
      <c r="E43" s="16" t="s">
        <v>84</v>
      </c>
      <c r="F43" s="16">
        <v>1</v>
      </c>
    </row>
    <row r="44" spans="1:6" ht="15.75" hidden="1" customHeight="1">
      <c r="A44" s="16" t="s">
        <v>96</v>
      </c>
      <c r="B44" s="16" t="s">
        <v>121</v>
      </c>
      <c r="C44" s="16" t="s">
        <v>137</v>
      </c>
      <c r="D44" s="16" t="s">
        <v>82</v>
      </c>
      <c r="E44" s="16" t="s">
        <v>84</v>
      </c>
      <c r="F44" s="16">
        <v>1</v>
      </c>
    </row>
    <row r="45" spans="1:6" ht="15.75" hidden="1" customHeight="1">
      <c r="A45" s="16" t="s">
        <v>97</v>
      </c>
      <c r="B45" s="16" t="s">
        <v>118</v>
      </c>
      <c r="C45" s="16" t="s">
        <v>136</v>
      </c>
      <c r="D45" s="16" t="s">
        <v>81</v>
      </c>
      <c r="E45" s="16" t="s">
        <v>84</v>
      </c>
      <c r="F45" s="16">
        <v>1</v>
      </c>
    </row>
    <row r="46" spans="1:6" ht="15.75" hidden="1" customHeight="1">
      <c r="A46" s="16" t="s">
        <v>97</v>
      </c>
      <c r="B46" s="16" t="s">
        <v>120</v>
      </c>
      <c r="C46" s="16" t="s">
        <v>136</v>
      </c>
      <c r="D46" s="16" t="s">
        <v>81</v>
      </c>
      <c r="E46" s="16" t="s">
        <v>84</v>
      </c>
      <c r="F46" s="16">
        <v>1</v>
      </c>
    </row>
    <row r="47" spans="1:6" ht="15.75" hidden="1" customHeight="1">
      <c r="A47" s="16" t="s">
        <v>97</v>
      </c>
      <c r="B47" s="16" t="s">
        <v>120</v>
      </c>
      <c r="C47" s="16" t="s">
        <v>137</v>
      </c>
      <c r="D47" s="16" t="s">
        <v>81</v>
      </c>
      <c r="E47" s="16" t="s">
        <v>84</v>
      </c>
      <c r="F47" s="16">
        <v>1</v>
      </c>
    </row>
    <row r="48" spans="1:6" ht="15.75" hidden="1" customHeight="1">
      <c r="A48" s="16" t="s">
        <v>123</v>
      </c>
      <c r="B48" s="16" t="s">
        <v>120</v>
      </c>
      <c r="C48" s="16" t="s">
        <v>136</v>
      </c>
      <c r="D48" s="16" t="s">
        <v>117</v>
      </c>
      <c r="E48" s="16" t="s">
        <v>85</v>
      </c>
      <c r="F48" s="16">
        <v>2</v>
      </c>
    </row>
    <row r="49" spans="1:6" ht="15.75" hidden="1" customHeight="1">
      <c r="A49" s="16" t="s">
        <v>98</v>
      </c>
      <c r="B49" s="16" t="s">
        <v>118</v>
      </c>
      <c r="C49" s="16" t="s">
        <v>136</v>
      </c>
      <c r="D49" s="16" t="s">
        <v>117</v>
      </c>
      <c r="E49" s="16" t="s">
        <v>84</v>
      </c>
      <c r="F49" s="16">
        <v>1</v>
      </c>
    </row>
    <row r="50" spans="1:6" ht="15.75" hidden="1" customHeight="1">
      <c r="A50" s="16" t="s">
        <v>98</v>
      </c>
      <c r="B50" s="16" t="s">
        <v>119</v>
      </c>
      <c r="C50" s="16" t="s">
        <v>136</v>
      </c>
      <c r="D50" s="16" t="s">
        <v>82</v>
      </c>
      <c r="E50" s="16" t="s">
        <v>85</v>
      </c>
      <c r="F50" s="16">
        <v>1</v>
      </c>
    </row>
    <row r="51" spans="1:6" ht="15.75" hidden="1" customHeight="1">
      <c r="A51" s="16" t="s">
        <v>98</v>
      </c>
      <c r="B51" s="16" t="s">
        <v>120</v>
      </c>
      <c r="C51" s="16" t="s">
        <v>136</v>
      </c>
      <c r="D51" s="16" t="s">
        <v>82</v>
      </c>
      <c r="E51" s="16" t="s">
        <v>85</v>
      </c>
      <c r="F51" s="16">
        <v>1</v>
      </c>
    </row>
    <row r="52" spans="1:6" ht="15.75" hidden="1" customHeight="1">
      <c r="A52" s="16" t="s">
        <v>99</v>
      </c>
      <c r="B52" s="16" t="s">
        <v>120</v>
      </c>
      <c r="C52" s="16" t="s">
        <v>136</v>
      </c>
      <c r="D52" s="16" t="s">
        <v>81</v>
      </c>
      <c r="E52" s="16" t="s">
        <v>85</v>
      </c>
      <c r="F52" s="16">
        <v>1</v>
      </c>
    </row>
    <row r="53" spans="1:6" ht="15.75" hidden="1" customHeight="1">
      <c r="A53" s="16" t="s">
        <v>99</v>
      </c>
      <c r="B53" s="16" t="s">
        <v>120</v>
      </c>
      <c r="C53" s="16" t="s">
        <v>136</v>
      </c>
      <c r="D53" s="16" t="s">
        <v>117</v>
      </c>
      <c r="E53" s="16" t="s">
        <v>85</v>
      </c>
      <c r="F53" s="16">
        <v>1</v>
      </c>
    </row>
    <row r="54" spans="1:6" ht="15.75" hidden="1" customHeight="1">
      <c r="A54" s="16" t="s">
        <v>124</v>
      </c>
      <c r="B54" s="16" t="s">
        <v>120</v>
      </c>
      <c r="C54" s="16" t="s">
        <v>137</v>
      </c>
      <c r="D54" s="16" t="s">
        <v>82</v>
      </c>
      <c r="E54" s="16" t="s">
        <v>84</v>
      </c>
      <c r="F54" s="16">
        <v>1</v>
      </c>
    </row>
    <row r="55" spans="1:6" ht="15.75" hidden="1" customHeight="1">
      <c r="A55" s="16" t="s">
        <v>100</v>
      </c>
      <c r="B55" s="16" t="s">
        <v>116</v>
      </c>
      <c r="C55" s="16" t="s">
        <v>137</v>
      </c>
      <c r="D55" s="16" t="s">
        <v>82</v>
      </c>
      <c r="E55" s="16" t="s">
        <v>84</v>
      </c>
      <c r="F55" s="16">
        <v>1</v>
      </c>
    </row>
    <row r="56" spans="1:6" ht="15.75" hidden="1" customHeight="1">
      <c r="A56" s="16" t="s">
        <v>101</v>
      </c>
      <c r="B56" s="16" t="s">
        <v>119</v>
      </c>
      <c r="C56" s="16" t="s">
        <v>136</v>
      </c>
      <c r="D56" s="16" t="s">
        <v>82</v>
      </c>
      <c r="E56" s="16" t="s">
        <v>84</v>
      </c>
      <c r="F56" s="16">
        <v>1</v>
      </c>
    </row>
    <row r="57" spans="1:6" ht="15.75" hidden="1" customHeight="1">
      <c r="A57" s="16" t="s">
        <v>102</v>
      </c>
      <c r="B57" s="16" t="s">
        <v>118</v>
      </c>
      <c r="C57" s="16" t="s">
        <v>136</v>
      </c>
      <c r="D57" s="16" t="s">
        <v>81</v>
      </c>
      <c r="E57" s="16" t="s">
        <v>85</v>
      </c>
      <c r="F57" s="16">
        <v>1</v>
      </c>
    </row>
    <row r="58" spans="1:6" ht="15.75" hidden="1" customHeight="1">
      <c r="A58" s="16" t="s">
        <v>102</v>
      </c>
      <c r="B58" s="16" t="s">
        <v>118</v>
      </c>
      <c r="C58" s="16" t="s">
        <v>137</v>
      </c>
      <c r="D58" s="16" t="s">
        <v>81</v>
      </c>
      <c r="E58" s="16" t="s">
        <v>85</v>
      </c>
      <c r="F58" s="16">
        <v>1</v>
      </c>
    </row>
    <row r="59" spans="1:6" ht="15.75" hidden="1" customHeight="1">
      <c r="A59" s="16" t="s">
        <v>125</v>
      </c>
      <c r="B59" s="16" t="s">
        <v>121</v>
      </c>
      <c r="C59" s="16" t="s">
        <v>136</v>
      </c>
      <c r="D59" s="16" t="s">
        <v>81</v>
      </c>
      <c r="E59" s="16" t="s">
        <v>84</v>
      </c>
      <c r="F59" s="16">
        <v>1</v>
      </c>
    </row>
    <row r="60" spans="1:6" ht="15.75" hidden="1" customHeight="1">
      <c r="A60" s="16" t="s">
        <v>126</v>
      </c>
      <c r="B60" s="16" t="s">
        <v>121</v>
      </c>
      <c r="C60" s="16" t="s">
        <v>136</v>
      </c>
      <c r="D60" s="16" t="s">
        <v>117</v>
      </c>
      <c r="E60" s="16" t="s">
        <v>84</v>
      </c>
      <c r="F60" s="16">
        <v>1</v>
      </c>
    </row>
    <row r="61" spans="1:6" ht="15.75" hidden="1" customHeight="1">
      <c r="A61" s="16" t="s">
        <v>127</v>
      </c>
      <c r="B61" s="16" t="s">
        <v>121</v>
      </c>
      <c r="C61" s="16" t="s">
        <v>136</v>
      </c>
      <c r="D61" s="16" t="s">
        <v>117</v>
      </c>
      <c r="E61" s="16" t="s">
        <v>84</v>
      </c>
      <c r="F61" s="16">
        <v>1</v>
      </c>
    </row>
    <row r="62" spans="1:6" ht="15.75" hidden="1" customHeight="1">
      <c r="A62" s="16" t="s">
        <v>128</v>
      </c>
      <c r="B62" s="16" t="s">
        <v>120</v>
      </c>
      <c r="C62" s="16" t="s">
        <v>136</v>
      </c>
      <c r="D62" s="16" t="s">
        <v>81</v>
      </c>
      <c r="E62" s="16" t="s">
        <v>84</v>
      </c>
      <c r="F62" s="16">
        <v>1</v>
      </c>
    </row>
    <row r="63" spans="1:6" ht="15.75" hidden="1" customHeight="1">
      <c r="A63" s="16" t="s">
        <v>129</v>
      </c>
      <c r="B63" s="16" t="s">
        <v>121</v>
      </c>
      <c r="C63" s="16" t="s">
        <v>136</v>
      </c>
      <c r="D63" s="16" t="s">
        <v>81</v>
      </c>
      <c r="E63" s="16" t="s">
        <v>84</v>
      </c>
      <c r="F63" s="16">
        <v>1</v>
      </c>
    </row>
    <row r="64" spans="1:6" ht="15.75" hidden="1" customHeight="1">
      <c r="A64" s="16" t="s">
        <v>129</v>
      </c>
      <c r="B64" s="16" t="s">
        <v>121</v>
      </c>
      <c r="C64" s="16" t="s">
        <v>136</v>
      </c>
      <c r="D64" s="16" t="s">
        <v>117</v>
      </c>
      <c r="E64" s="16" t="s">
        <v>85</v>
      </c>
      <c r="F64" s="16">
        <v>1</v>
      </c>
    </row>
    <row r="65" spans="1:6" ht="15.75" hidden="1" customHeight="1">
      <c r="A65" s="16" t="s">
        <v>103</v>
      </c>
      <c r="B65" s="16" t="s">
        <v>116</v>
      </c>
      <c r="C65" s="16" t="s">
        <v>136</v>
      </c>
      <c r="D65" s="16" t="s">
        <v>82</v>
      </c>
      <c r="E65" s="16" t="s">
        <v>84</v>
      </c>
      <c r="F65" s="16">
        <v>1</v>
      </c>
    </row>
    <row r="66" spans="1:6" ht="15.75" hidden="1" customHeight="1">
      <c r="A66" s="16" t="s">
        <v>103</v>
      </c>
      <c r="B66" s="16" t="s">
        <v>116</v>
      </c>
      <c r="C66" s="16" t="s">
        <v>136</v>
      </c>
      <c r="D66" s="16" t="s">
        <v>117</v>
      </c>
      <c r="E66" s="16" t="s">
        <v>84</v>
      </c>
      <c r="F66" s="16">
        <v>1</v>
      </c>
    </row>
    <row r="67" spans="1:6" ht="15.75" hidden="1" customHeight="1">
      <c r="A67" s="16" t="s">
        <v>103</v>
      </c>
      <c r="B67" s="16" t="s">
        <v>118</v>
      </c>
      <c r="C67" s="16" t="s">
        <v>136</v>
      </c>
      <c r="D67" s="16" t="s">
        <v>117</v>
      </c>
      <c r="E67" s="16" t="s">
        <v>84</v>
      </c>
      <c r="F67" s="16">
        <v>1</v>
      </c>
    </row>
    <row r="68" spans="1:6" ht="15.75" hidden="1" customHeight="1">
      <c r="A68" s="16" t="s">
        <v>103</v>
      </c>
      <c r="B68" s="16" t="s">
        <v>119</v>
      </c>
      <c r="C68" s="16" t="s">
        <v>136</v>
      </c>
      <c r="D68" s="16" t="s">
        <v>82</v>
      </c>
      <c r="E68" s="16" t="s">
        <v>85</v>
      </c>
      <c r="F68" s="16">
        <v>1</v>
      </c>
    </row>
    <row r="69" spans="1:6" ht="15.75" hidden="1" customHeight="1">
      <c r="A69" s="16" t="s">
        <v>103</v>
      </c>
      <c r="B69" s="16" t="s">
        <v>120</v>
      </c>
      <c r="C69" s="16" t="s">
        <v>136</v>
      </c>
      <c r="D69" s="16" t="s">
        <v>82</v>
      </c>
      <c r="E69" s="16" t="s">
        <v>85</v>
      </c>
      <c r="F69" s="16">
        <v>1</v>
      </c>
    </row>
    <row r="70" spans="1:6" ht="15.75" hidden="1" customHeight="1">
      <c r="A70" s="16" t="s">
        <v>103</v>
      </c>
      <c r="B70" s="16" t="s">
        <v>120</v>
      </c>
      <c r="C70" s="16" t="s">
        <v>136</v>
      </c>
      <c r="D70" s="16" t="s">
        <v>82</v>
      </c>
      <c r="E70" s="16" t="s">
        <v>84</v>
      </c>
      <c r="F70" s="16">
        <v>1</v>
      </c>
    </row>
    <row r="71" spans="1:6" ht="15.75" hidden="1" customHeight="1">
      <c r="A71" s="16" t="s">
        <v>103</v>
      </c>
      <c r="B71" s="16" t="s">
        <v>120</v>
      </c>
      <c r="C71" s="16" t="s">
        <v>136</v>
      </c>
      <c r="D71" s="16" t="s">
        <v>81</v>
      </c>
      <c r="E71" s="16" t="s">
        <v>85</v>
      </c>
      <c r="F71" s="16">
        <v>1</v>
      </c>
    </row>
    <row r="72" spans="1:6" ht="15.75" hidden="1" customHeight="1">
      <c r="A72" s="16" t="s">
        <v>103</v>
      </c>
      <c r="B72" s="16" t="s">
        <v>120</v>
      </c>
      <c r="C72" s="16" t="s">
        <v>137</v>
      </c>
      <c r="D72" s="16" t="s">
        <v>81</v>
      </c>
      <c r="E72" s="16" t="s">
        <v>85</v>
      </c>
      <c r="F72" s="16">
        <v>1</v>
      </c>
    </row>
    <row r="73" spans="1:6" ht="15.75" hidden="1" customHeight="1">
      <c r="A73" s="16" t="s">
        <v>103</v>
      </c>
      <c r="B73" s="16" t="s">
        <v>121</v>
      </c>
      <c r="C73" s="16" t="s">
        <v>137</v>
      </c>
      <c r="D73" s="16" t="s">
        <v>82</v>
      </c>
      <c r="E73" s="16" t="s">
        <v>85</v>
      </c>
      <c r="F73" s="16">
        <v>1</v>
      </c>
    </row>
    <row r="74" spans="1:6" ht="15.75" hidden="1" customHeight="1">
      <c r="A74" s="16" t="s">
        <v>104</v>
      </c>
      <c r="B74" s="16" t="s">
        <v>120</v>
      </c>
      <c r="C74" s="16" t="s">
        <v>136</v>
      </c>
      <c r="D74" s="16" t="s">
        <v>82</v>
      </c>
      <c r="E74" s="16" t="s">
        <v>85</v>
      </c>
      <c r="F74" s="16">
        <v>1</v>
      </c>
    </row>
    <row r="75" spans="1:6" ht="15.75" hidden="1" customHeight="1">
      <c r="A75" s="16" t="s">
        <v>105</v>
      </c>
      <c r="B75" s="16" t="s">
        <v>116</v>
      </c>
      <c r="C75" s="16" t="s">
        <v>136</v>
      </c>
      <c r="D75" s="16" t="s">
        <v>82</v>
      </c>
      <c r="E75" s="16" t="s">
        <v>85</v>
      </c>
      <c r="F75" s="16">
        <v>1</v>
      </c>
    </row>
    <row r="76" spans="1:6" ht="15.75" hidden="1" customHeight="1">
      <c r="A76" s="16" t="s">
        <v>105</v>
      </c>
      <c r="B76" s="16" t="s">
        <v>118</v>
      </c>
      <c r="C76" s="16" t="s">
        <v>136</v>
      </c>
      <c r="D76" s="16" t="s">
        <v>117</v>
      </c>
      <c r="E76" s="16" t="s">
        <v>84</v>
      </c>
      <c r="F76" s="16">
        <v>2</v>
      </c>
    </row>
    <row r="77" spans="1:6" ht="15.75" hidden="1" customHeight="1">
      <c r="A77" s="16" t="s">
        <v>106</v>
      </c>
      <c r="B77" s="16" t="s">
        <v>118</v>
      </c>
      <c r="C77" s="16" t="s">
        <v>137</v>
      </c>
      <c r="D77" s="16" t="s">
        <v>81</v>
      </c>
      <c r="E77" s="16" t="s">
        <v>84</v>
      </c>
      <c r="F77" s="16">
        <v>1</v>
      </c>
    </row>
    <row r="78" spans="1:6" ht="15.75" hidden="1" customHeight="1">
      <c r="A78" s="16" t="s">
        <v>107</v>
      </c>
      <c r="B78" s="16" t="s">
        <v>118</v>
      </c>
      <c r="C78" s="16" t="s">
        <v>136</v>
      </c>
      <c r="D78" s="16" t="s">
        <v>82</v>
      </c>
      <c r="E78" s="16" t="s">
        <v>85</v>
      </c>
      <c r="F78" s="16">
        <v>1</v>
      </c>
    </row>
    <row r="79" spans="1:6" ht="15.75" hidden="1" customHeight="1">
      <c r="A79" s="16" t="s">
        <v>108</v>
      </c>
      <c r="B79" s="16" t="s">
        <v>119</v>
      </c>
      <c r="C79" s="16" t="s">
        <v>137</v>
      </c>
      <c r="D79" s="16" t="s">
        <v>82</v>
      </c>
      <c r="E79" s="16" t="s">
        <v>85</v>
      </c>
      <c r="F79" s="16">
        <v>1</v>
      </c>
    </row>
    <row r="80" spans="1:6" ht="15.75" hidden="1" customHeight="1">
      <c r="A80" s="16" t="s">
        <v>108</v>
      </c>
      <c r="B80" s="16" t="s">
        <v>121</v>
      </c>
      <c r="C80" s="16" t="s">
        <v>136</v>
      </c>
      <c r="D80" s="16" t="s">
        <v>82</v>
      </c>
      <c r="E80" s="16" t="s">
        <v>85</v>
      </c>
      <c r="F80" s="16">
        <v>1</v>
      </c>
    </row>
    <row r="81" spans="1:6" ht="15.75" hidden="1" customHeight="1">
      <c r="A81" s="16" t="s">
        <v>108</v>
      </c>
      <c r="B81" s="16" t="s">
        <v>121</v>
      </c>
      <c r="C81" s="16" t="s">
        <v>136</v>
      </c>
      <c r="D81" s="16" t="s">
        <v>82</v>
      </c>
      <c r="E81" s="16" t="s">
        <v>84</v>
      </c>
      <c r="F81" s="16">
        <v>1</v>
      </c>
    </row>
    <row r="82" spans="1:6" ht="15.75" hidden="1" customHeight="1">
      <c r="A82" s="16" t="s">
        <v>108</v>
      </c>
      <c r="B82" s="16" t="s">
        <v>121</v>
      </c>
      <c r="C82" s="16" t="s">
        <v>137</v>
      </c>
      <c r="D82" s="16" t="s">
        <v>82</v>
      </c>
      <c r="E82" s="16" t="s">
        <v>85</v>
      </c>
      <c r="F82" s="16">
        <v>1</v>
      </c>
    </row>
    <row r="83" spans="1:6" ht="15.75" customHeight="1">
      <c r="A83" t="s">
        <v>83</v>
      </c>
      <c r="B83" s="14">
        <v>2025</v>
      </c>
      <c r="C83" t="s">
        <v>137</v>
      </c>
      <c r="D83" t="s">
        <v>117</v>
      </c>
      <c r="E83" t="s">
        <v>84</v>
      </c>
      <c r="F83" s="4">
        <v>1</v>
      </c>
    </row>
    <row r="84" spans="1:6" ht="15" customHeight="1">
      <c r="A84" t="s">
        <v>122</v>
      </c>
      <c r="B84" s="14">
        <v>2025</v>
      </c>
      <c r="C84" t="s">
        <v>136</v>
      </c>
      <c r="D84" t="s">
        <v>81</v>
      </c>
      <c r="E84" t="s">
        <v>84</v>
      </c>
      <c r="F84" s="4">
        <v>1</v>
      </c>
    </row>
    <row r="85" spans="1:6" ht="15" customHeight="1">
      <c r="A85" t="s">
        <v>103</v>
      </c>
      <c r="B85" s="14">
        <v>2025</v>
      </c>
      <c r="C85" t="s">
        <v>136</v>
      </c>
      <c r="D85" t="s">
        <v>82</v>
      </c>
      <c r="E85" t="s">
        <v>84</v>
      </c>
      <c r="F85" s="4">
        <v>1</v>
      </c>
    </row>
    <row r="86" spans="1:6" ht="15" customHeight="1">
      <c r="A86" t="s">
        <v>95</v>
      </c>
      <c r="B86" s="14">
        <v>2025</v>
      </c>
      <c r="C86" t="s">
        <v>136</v>
      </c>
      <c r="D86" t="s">
        <v>82</v>
      </c>
      <c r="E86" t="s">
        <v>84</v>
      </c>
      <c r="F86" s="4">
        <v>1</v>
      </c>
    </row>
    <row r="87" spans="1:6" ht="15" customHeight="1">
      <c r="A87" t="s">
        <v>151</v>
      </c>
      <c r="B87" s="14">
        <v>2025</v>
      </c>
      <c r="C87" t="s">
        <v>136</v>
      </c>
      <c r="D87" t="s">
        <v>82</v>
      </c>
      <c r="E87" t="s">
        <v>84</v>
      </c>
      <c r="F87" s="4">
        <v>1</v>
      </c>
    </row>
    <row r="88" spans="1:6" ht="15" customHeight="1">
      <c r="A88" t="s">
        <v>152</v>
      </c>
      <c r="B88" s="14">
        <v>2025</v>
      </c>
      <c r="C88" t="s">
        <v>136</v>
      </c>
      <c r="D88" t="s">
        <v>81</v>
      </c>
      <c r="E88" t="s">
        <v>85</v>
      </c>
      <c r="F88" s="4">
        <v>1</v>
      </c>
    </row>
    <row r="89" spans="1:6" ht="15" customHeight="1">
      <c r="A89" t="s">
        <v>153</v>
      </c>
      <c r="B89" s="14">
        <v>2025</v>
      </c>
      <c r="C89" t="s">
        <v>136</v>
      </c>
      <c r="D89" t="s">
        <v>82</v>
      </c>
      <c r="E89" t="s">
        <v>84</v>
      </c>
      <c r="F89" s="4">
        <v>1</v>
      </c>
    </row>
    <row r="90" spans="1:6" ht="15" customHeight="1">
      <c r="A90" t="s">
        <v>123</v>
      </c>
      <c r="B90" s="14">
        <v>2025</v>
      </c>
      <c r="C90" t="s">
        <v>136</v>
      </c>
      <c r="D90" t="s">
        <v>117</v>
      </c>
      <c r="E90" t="s">
        <v>85</v>
      </c>
      <c r="F90" s="4">
        <v>1</v>
      </c>
    </row>
    <row r="91" spans="1:6" ht="15" customHeight="1">
      <c r="A91" t="s">
        <v>154</v>
      </c>
      <c r="B91" s="14">
        <v>2025</v>
      </c>
      <c r="C91" t="s">
        <v>136</v>
      </c>
      <c r="D91" t="s">
        <v>81</v>
      </c>
      <c r="E91" t="s">
        <v>84</v>
      </c>
      <c r="F91" s="4">
        <v>1</v>
      </c>
    </row>
    <row r="92" spans="1:6" ht="15" customHeight="1">
      <c r="A92" t="s">
        <v>155</v>
      </c>
      <c r="B92" s="14">
        <v>2025</v>
      </c>
      <c r="C92" t="s">
        <v>136</v>
      </c>
      <c r="D92" t="s">
        <v>117</v>
      </c>
      <c r="E92" t="s">
        <v>85</v>
      </c>
      <c r="F92" s="4">
        <v>1</v>
      </c>
    </row>
    <row r="93" spans="1:6" ht="15" customHeight="1">
      <c r="A93" t="s">
        <v>156</v>
      </c>
      <c r="B93" s="14">
        <v>2025</v>
      </c>
      <c r="C93" t="s">
        <v>137</v>
      </c>
      <c r="D93" t="s">
        <v>82</v>
      </c>
      <c r="E93" t="s">
        <v>84</v>
      </c>
      <c r="F93" s="4">
        <v>1</v>
      </c>
    </row>
    <row r="94" spans="1:6" ht="15" customHeight="1">
      <c r="A94" t="s">
        <v>157</v>
      </c>
      <c r="B94" s="14">
        <v>2025</v>
      </c>
      <c r="C94" t="s">
        <v>136</v>
      </c>
      <c r="D94" t="s">
        <v>117</v>
      </c>
      <c r="E94" t="s">
        <v>84</v>
      </c>
      <c r="F94" s="4">
        <v>1</v>
      </c>
    </row>
    <row r="95" spans="1:6" ht="15" customHeight="1">
      <c r="A95" t="s">
        <v>103</v>
      </c>
      <c r="B95" s="14">
        <v>2025</v>
      </c>
      <c r="C95" t="s">
        <v>136</v>
      </c>
      <c r="D95" t="s">
        <v>82</v>
      </c>
      <c r="E95" t="s">
        <v>85</v>
      </c>
      <c r="F95" s="4">
        <v>1</v>
      </c>
    </row>
    <row r="97" spans="1:2" ht="15" customHeight="1">
      <c r="A97" s="1" t="s">
        <v>11</v>
      </c>
      <c r="B97" s="1" t="s">
        <v>12</v>
      </c>
    </row>
    <row r="98" spans="1:2" ht="15" customHeight="1">
      <c r="A98" s="1" t="s">
        <v>13</v>
      </c>
      <c r="B98" s="1" t="s">
        <v>109</v>
      </c>
    </row>
    <row r="99" spans="1:2" ht="15" customHeight="1">
      <c r="A99" s="1" t="s">
        <v>15</v>
      </c>
      <c r="B99" s="1" t="s">
        <v>110</v>
      </c>
    </row>
    <row r="100" spans="1:2" ht="15" customHeight="1">
      <c r="A100" s="1" t="s">
        <v>5</v>
      </c>
      <c r="B100" s="1" t="s">
        <v>6</v>
      </c>
    </row>
  </sheetData>
  <autoFilter ref="A1:F95" xr:uid="{00000000-0001-0000-0200-000000000000}">
    <filterColumn colId="1">
      <filters>
        <filter val="2025"/>
      </filters>
    </filterColumn>
  </autoFilter>
  <dataValidations disablePrompts="1" count="1">
    <dataValidation type="whole" allowBlank="1" showInputMessage="1" showErrorMessage="1" sqref="F83:F95" xr:uid="{34EA7752-11A4-41F0-8AB2-4D7EAC7B9DF3}">
      <formula1>0</formula1>
      <formula2>10000000000</formula2>
    </dataValidation>
  </dataValidations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C9"/>
  <sheetViews>
    <sheetView zoomScale="80" zoomScaleNormal="80" workbookViewId="0">
      <selection activeCell="L15" sqref="L15"/>
    </sheetView>
  </sheetViews>
  <sheetFormatPr baseColWidth="10" defaultRowHeight="15"/>
  <sheetData>
    <row r="1" spans="1:3">
      <c r="A1" t="s">
        <v>20</v>
      </c>
      <c r="B1" t="s">
        <v>136</v>
      </c>
      <c r="C1" s="4" t="s">
        <v>137</v>
      </c>
    </row>
    <row r="2" spans="1:3">
      <c r="A2" s="14" t="s">
        <v>85</v>
      </c>
      <c r="B2" s="14">
        <v>35</v>
      </c>
      <c r="C2">
        <v>7</v>
      </c>
    </row>
    <row r="3" spans="1:3">
      <c r="A3" s="14" t="s">
        <v>84</v>
      </c>
      <c r="B3" s="14">
        <v>49</v>
      </c>
      <c r="C3">
        <v>14</v>
      </c>
    </row>
    <row r="5" spans="1:3">
      <c r="A5" s="1" t="s">
        <v>13</v>
      </c>
      <c r="B5" s="1" t="s">
        <v>138</v>
      </c>
    </row>
    <row r="6" spans="1:3">
      <c r="A6" s="1" t="s">
        <v>15</v>
      </c>
      <c r="B6" s="1" t="s">
        <v>168</v>
      </c>
    </row>
    <row r="7" spans="1:3">
      <c r="A7" s="1" t="s">
        <v>5</v>
      </c>
      <c r="B7" s="1" t="s">
        <v>6</v>
      </c>
    </row>
    <row r="9" spans="1:3">
      <c r="A9" t="s">
        <v>11</v>
      </c>
      <c r="B9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64B3-BCF5-4C50-B21D-7AB08D11EC87}">
  <dimension ref="A1:H1004"/>
  <sheetViews>
    <sheetView workbookViewId="0">
      <selection activeCell="M22" sqref="M22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5" width="9.140625" customWidth="1"/>
    <col min="6" max="18" width="10.7109375" customWidth="1"/>
  </cols>
  <sheetData>
    <row r="1" spans="1:8">
      <c r="A1" s="7" t="s">
        <v>3</v>
      </c>
      <c r="B1" s="7" t="s">
        <v>28</v>
      </c>
      <c r="C1" s="8" t="s">
        <v>111</v>
      </c>
      <c r="D1" s="8" t="s">
        <v>112</v>
      </c>
      <c r="E1" s="7" t="s">
        <v>4</v>
      </c>
      <c r="H1" s="2"/>
    </row>
    <row r="2" spans="1:8">
      <c r="A2" s="9">
        <v>2020</v>
      </c>
      <c r="B2" s="12" t="s">
        <v>29</v>
      </c>
      <c r="C2">
        <v>7</v>
      </c>
      <c r="E2" s="10">
        <f t="shared" ref="E2:E13" si="0">SUM(C2:D2)</f>
        <v>7</v>
      </c>
    </row>
    <row r="3" spans="1:8">
      <c r="A3" s="9">
        <v>2020</v>
      </c>
      <c r="B3" s="12" t="s">
        <v>30</v>
      </c>
      <c r="C3">
        <v>2</v>
      </c>
      <c r="D3">
        <v>2</v>
      </c>
      <c r="E3" s="10">
        <f t="shared" si="0"/>
        <v>4</v>
      </c>
    </row>
    <row r="4" spans="1:8">
      <c r="A4" s="9">
        <v>2021</v>
      </c>
      <c r="B4" s="12" t="s">
        <v>29</v>
      </c>
      <c r="C4">
        <v>4</v>
      </c>
      <c r="D4">
        <v>1</v>
      </c>
      <c r="E4" s="10">
        <f t="shared" si="0"/>
        <v>5</v>
      </c>
    </row>
    <row r="5" spans="1:8">
      <c r="A5" s="9">
        <v>2021</v>
      </c>
      <c r="B5" s="12" t="s">
        <v>30</v>
      </c>
      <c r="C5">
        <v>9</v>
      </c>
      <c r="D5">
        <v>2</v>
      </c>
      <c r="E5" s="10">
        <f t="shared" si="0"/>
        <v>11</v>
      </c>
    </row>
    <row r="6" spans="1:8">
      <c r="A6" s="9">
        <v>2022</v>
      </c>
      <c r="B6" s="12" t="s">
        <v>29</v>
      </c>
      <c r="C6">
        <v>4</v>
      </c>
      <c r="D6">
        <v>1</v>
      </c>
      <c r="E6" s="10">
        <f t="shared" si="0"/>
        <v>5</v>
      </c>
    </row>
    <row r="7" spans="1:8">
      <c r="A7" s="9">
        <v>2022</v>
      </c>
      <c r="B7" s="12" t="s">
        <v>30</v>
      </c>
      <c r="C7">
        <v>4</v>
      </c>
      <c r="D7">
        <v>2</v>
      </c>
      <c r="E7" s="10">
        <f t="shared" si="0"/>
        <v>6</v>
      </c>
    </row>
    <row r="8" spans="1:8">
      <c r="A8" s="9">
        <v>2023</v>
      </c>
      <c r="B8" s="12" t="s">
        <v>29</v>
      </c>
      <c r="C8">
        <v>12</v>
      </c>
      <c r="D8">
        <v>2</v>
      </c>
      <c r="E8" s="10">
        <f t="shared" si="0"/>
        <v>14</v>
      </c>
    </row>
    <row r="9" spans="1:8">
      <c r="A9" s="9">
        <v>2023</v>
      </c>
      <c r="B9" s="12" t="s">
        <v>30</v>
      </c>
      <c r="C9">
        <v>11</v>
      </c>
      <c r="D9">
        <v>2</v>
      </c>
      <c r="E9" s="10">
        <f t="shared" si="0"/>
        <v>13</v>
      </c>
    </row>
    <row r="10" spans="1:8">
      <c r="A10" s="9">
        <v>2024</v>
      </c>
      <c r="B10" s="12" t="s">
        <v>29</v>
      </c>
      <c r="C10">
        <v>7</v>
      </c>
      <c r="D10">
        <v>5</v>
      </c>
      <c r="E10" s="10">
        <f t="shared" si="0"/>
        <v>12</v>
      </c>
    </row>
    <row r="11" spans="1:8">
      <c r="A11" s="9">
        <v>2024</v>
      </c>
      <c r="B11" s="12" t="s">
        <v>30</v>
      </c>
      <c r="C11">
        <v>13</v>
      </c>
      <c r="D11">
        <v>2</v>
      </c>
      <c r="E11" s="10">
        <f t="shared" si="0"/>
        <v>15</v>
      </c>
    </row>
    <row r="12" spans="1:8">
      <c r="A12" s="9">
        <v>2025</v>
      </c>
      <c r="B12" s="18" t="s">
        <v>29</v>
      </c>
      <c r="C12">
        <v>11</v>
      </c>
      <c r="D12">
        <v>2</v>
      </c>
      <c r="E12" s="10">
        <f t="shared" si="0"/>
        <v>13</v>
      </c>
    </row>
    <row r="13" spans="1:8">
      <c r="A13" s="11" t="s">
        <v>21</v>
      </c>
      <c r="B13" s="11"/>
      <c r="C13" s="10">
        <f>SUM(C2:C12)</f>
        <v>84</v>
      </c>
      <c r="D13" s="10">
        <f>SUM(D2:D12)</f>
        <v>21</v>
      </c>
      <c r="E13" s="10">
        <f t="shared" si="0"/>
        <v>105</v>
      </c>
    </row>
    <row r="15" spans="1:8">
      <c r="A15" s="1" t="s">
        <v>0</v>
      </c>
      <c r="B15" s="1" t="s">
        <v>113</v>
      </c>
      <c r="C15" s="1"/>
    </row>
    <row r="16" spans="1:8">
      <c r="A16" s="5" t="s">
        <v>15</v>
      </c>
      <c r="B16" s="1" t="s">
        <v>169</v>
      </c>
      <c r="C16" s="5"/>
    </row>
    <row r="17" spans="1:3">
      <c r="A17" s="1" t="s">
        <v>5</v>
      </c>
      <c r="B17" s="1" t="s">
        <v>114</v>
      </c>
      <c r="C17" s="1"/>
    </row>
    <row r="18" spans="1:3">
      <c r="A18" s="1" t="s">
        <v>7</v>
      </c>
      <c r="B18" s="1" t="s">
        <v>24</v>
      </c>
      <c r="C18" s="1"/>
    </row>
    <row r="19" spans="1:3" ht="15" customHeight="1">
      <c r="A19" s="1"/>
      <c r="B19" s="1"/>
      <c r="C19" s="1"/>
    </row>
    <row r="20" spans="1:3" ht="15" customHeight="1">
      <c r="A20" s="1" t="s">
        <v>11</v>
      </c>
      <c r="B20" s="1" t="s">
        <v>17</v>
      </c>
      <c r="C20" s="1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E7" sqref="E7"/>
    </sheetView>
  </sheetViews>
  <sheetFormatPr baseColWidth="10" defaultRowHeight="15"/>
  <sheetData>
    <row r="1" spans="1:66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56</v>
      </c>
      <c r="AA1" s="6" t="s">
        <v>57</v>
      </c>
      <c r="AB1" s="6" t="s">
        <v>58</v>
      </c>
      <c r="AC1" s="6" t="s">
        <v>59</v>
      </c>
      <c r="AD1" s="6" t="s">
        <v>60</v>
      </c>
      <c r="AE1" s="6" t="s">
        <v>61</v>
      </c>
      <c r="AF1" s="6" t="s">
        <v>62</v>
      </c>
      <c r="AG1" s="6" t="s">
        <v>63</v>
      </c>
      <c r="AH1" s="6" t="s">
        <v>64</v>
      </c>
      <c r="AI1" s="6" t="s">
        <v>65</v>
      </c>
      <c r="AJ1" s="6" t="s">
        <v>66</v>
      </c>
      <c r="AK1" s="6" t="s">
        <v>67</v>
      </c>
      <c r="AL1" s="6" t="s">
        <v>68</v>
      </c>
      <c r="AM1" s="6" t="s">
        <v>69</v>
      </c>
      <c r="AN1" s="6" t="s">
        <v>70</v>
      </c>
      <c r="AO1" s="6" t="s">
        <v>71</v>
      </c>
      <c r="AP1" s="6" t="s">
        <v>72</v>
      </c>
      <c r="AQ1" s="6" t="s">
        <v>73</v>
      </c>
      <c r="AR1" s="6" t="s">
        <v>74</v>
      </c>
      <c r="AS1" s="6" t="s">
        <v>75</v>
      </c>
      <c r="AT1" s="6" t="s">
        <v>76</v>
      </c>
      <c r="AU1" s="6" t="s">
        <v>77</v>
      </c>
      <c r="AV1" s="6" t="s">
        <v>78</v>
      </c>
      <c r="AW1" s="6" t="s">
        <v>139</v>
      </c>
      <c r="AX1" s="6" t="s">
        <v>140</v>
      </c>
      <c r="AY1" s="6" t="s">
        <v>141</v>
      </c>
      <c r="AZ1" s="6" t="s">
        <v>142</v>
      </c>
      <c r="BA1" s="6" t="s">
        <v>143</v>
      </c>
      <c r="BB1" s="6" t="s">
        <v>144</v>
      </c>
      <c r="BC1" s="6" t="s">
        <v>145</v>
      </c>
      <c r="BD1" s="6" t="s">
        <v>146</v>
      </c>
      <c r="BE1" s="6" t="s">
        <v>147</v>
      </c>
      <c r="BF1" s="6" t="s">
        <v>148</v>
      </c>
      <c r="BG1" s="6" t="s">
        <v>149</v>
      </c>
      <c r="BH1" s="6" t="s">
        <v>150</v>
      </c>
      <c r="BI1" s="6" t="s">
        <v>158</v>
      </c>
      <c r="BJ1" s="6" t="s">
        <v>159</v>
      </c>
      <c r="BK1" s="6" t="s">
        <v>160</v>
      </c>
      <c r="BL1" s="6" t="s">
        <v>161</v>
      </c>
      <c r="BM1" s="6" t="s">
        <v>162</v>
      </c>
      <c r="BN1" s="6" t="s">
        <v>163</v>
      </c>
    </row>
    <row r="2" spans="1:66">
      <c r="A2" s="13">
        <v>2</v>
      </c>
      <c r="B2" s="13">
        <v>3</v>
      </c>
      <c r="C2" s="13">
        <v>0</v>
      </c>
      <c r="D2" s="13">
        <v>0</v>
      </c>
      <c r="E2" s="13">
        <v>0</v>
      </c>
      <c r="F2" s="13">
        <v>2</v>
      </c>
      <c r="G2" s="13">
        <v>1</v>
      </c>
      <c r="H2" s="13">
        <v>1</v>
      </c>
      <c r="I2" s="13">
        <v>0</v>
      </c>
      <c r="J2" s="13">
        <v>2</v>
      </c>
      <c r="K2" s="13">
        <v>0</v>
      </c>
      <c r="L2" s="13">
        <v>0</v>
      </c>
      <c r="M2" s="13">
        <v>2</v>
      </c>
      <c r="N2" s="13">
        <v>1</v>
      </c>
      <c r="O2" s="13">
        <v>1</v>
      </c>
      <c r="P2" s="13">
        <v>1</v>
      </c>
      <c r="Q2" s="13">
        <v>0</v>
      </c>
      <c r="R2" s="13">
        <v>0</v>
      </c>
      <c r="S2" s="13">
        <v>4</v>
      </c>
      <c r="T2" s="13">
        <v>1</v>
      </c>
      <c r="U2" s="13">
        <v>2</v>
      </c>
      <c r="V2" s="13">
        <v>2</v>
      </c>
      <c r="W2" s="13">
        <v>1</v>
      </c>
      <c r="X2" s="13">
        <v>1</v>
      </c>
      <c r="Y2" s="13">
        <v>2</v>
      </c>
      <c r="Z2" s="13">
        <v>1</v>
      </c>
      <c r="AA2" s="13">
        <v>1</v>
      </c>
      <c r="AB2" s="13">
        <v>0</v>
      </c>
      <c r="AC2" s="13">
        <v>1</v>
      </c>
      <c r="AD2" s="13">
        <v>0</v>
      </c>
      <c r="AE2" s="13">
        <v>2</v>
      </c>
      <c r="AF2" s="13">
        <v>1</v>
      </c>
      <c r="AG2" s="13">
        <v>2</v>
      </c>
      <c r="AH2" s="13">
        <v>1</v>
      </c>
      <c r="AI2" s="13">
        <v>0</v>
      </c>
      <c r="AJ2" s="13">
        <v>0</v>
      </c>
      <c r="AK2" s="13">
        <v>3</v>
      </c>
      <c r="AL2" s="13">
        <v>2</v>
      </c>
      <c r="AM2" s="13">
        <v>1</v>
      </c>
      <c r="AN2" s="13">
        <v>3</v>
      </c>
      <c r="AO2" s="13">
        <v>2</v>
      </c>
      <c r="AP2" s="13">
        <v>3</v>
      </c>
      <c r="AQ2" s="13">
        <v>4</v>
      </c>
      <c r="AR2" s="13">
        <v>2</v>
      </c>
      <c r="AS2" s="13">
        <v>2</v>
      </c>
      <c r="AT2" s="13">
        <v>3</v>
      </c>
      <c r="AU2" s="13">
        <v>0</v>
      </c>
      <c r="AV2" s="13">
        <v>2</v>
      </c>
      <c r="AW2" s="17">
        <v>1</v>
      </c>
      <c r="AX2" s="17">
        <v>1</v>
      </c>
      <c r="AY2" s="17">
        <v>2</v>
      </c>
      <c r="AZ2" s="17">
        <v>2</v>
      </c>
      <c r="BA2" s="17">
        <v>2</v>
      </c>
      <c r="BB2" s="17">
        <v>4</v>
      </c>
      <c r="BC2" s="17">
        <v>1</v>
      </c>
      <c r="BD2" s="17">
        <v>3</v>
      </c>
      <c r="BE2" s="17">
        <v>2</v>
      </c>
      <c r="BF2" s="17">
        <v>4</v>
      </c>
      <c r="BG2" s="17">
        <v>4</v>
      </c>
      <c r="BH2" s="17">
        <v>1</v>
      </c>
      <c r="BI2" s="17">
        <v>3</v>
      </c>
      <c r="BJ2" s="17">
        <v>2</v>
      </c>
      <c r="BK2" s="17">
        <v>2</v>
      </c>
      <c r="BL2" s="17">
        <v>2</v>
      </c>
      <c r="BM2" s="17">
        <v>3</v>
      </c>
      <c r="BN2" s="17">
        <v>1</v>
      </c>
    </row>
    <row r="4" spans="1:66">
      <c r="A4" s="1" t="s">
        <v>13</v>
      </c>
      <c r="B4" s="1" t="s">
        <v>170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15</v>
      </c>
      <c r="B5" s="1" t="s">
        <v>164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22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11</v>
      </c>
      <c r="B9" t="s">
        <v>23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Asus</cp:lastModifiedBy>
  <dcterms:created xsi:type="dcterms:W3CDTF">2022-08-04T13:33:08Z</dcterms:created>
  <dcterms:modified xsi:type="dcterms:W3CDTF">2025-09-29T16:53:38Z</dcterms:modified>
</cp:coreProperties>
</file>