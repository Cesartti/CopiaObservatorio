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C172A26A-7FFF-4532-8E93-C6527B0536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11" r:id="rId5"/>
    <sheet name="data6" sheetId="8" r:id="rId6"/>
  </sheets>
  <definedNames>
    <definedName name="_xlnm._FilterDatabase" localSheetId="2" hidden="1">data2!$A$1:$E$32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E13" i="11" l="1"/>
  <c r="D13" i="11"/>
  <c r="C13" i="11"/>
  <c r="G13" i="2"/>
  <c r="F13" i="2"/>
  <c r="E13" i="2"/>
  <c r="D13" i="2"/>
  <c r="C13" i="2"/>
  <c r="G12" i="2"/>
  <c r="G11" i="2"/>
  <c r="G10" i="2"/>
  <c r="G9" i="2"/>
  <c r="G8" i="2"/>
  <c r="G7" i="2"/>
  <c r="G6" i="2"/>
  <c r="G5" i="2"/>
  <c r="G4" i="2"/>
  <c r="G3" i="2"/>
  <c r="E10" i="11"/>
  <c r="E9" i="11"/>
  <c r="E8" i="11"/>
  <c r="E7" i="11"/>
  <c r="E6" i="11"/>
  <c r="E5" i="11"/>
  <c r="E4" i="11"/>
  <c r="E3" i="11"/>
  <c r="E2" i="11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<sst xmlns="http://schemas.openxmlformats.org/spreadsheetml/2006/main" count="216" uniqueCount="120">
  <si>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</si>
  <si>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</si>
  <si>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</si>
  <si>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</si>
  <si>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</si>
  <si>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</si>
  <si>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</si>
  <si>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</si>
  <si>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Rango de edad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</si>
  <si>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</si>
  <si>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</si>
  <si>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</si>
  <si>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</si>
  <si>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</si>
  <si>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</si>
  <si>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</si>
  <si>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</si>
  <si>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</si>
  <si>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</si>
  <si>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</si>
  <si>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</si>
  <si>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</si>
  <si>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Base de datos entregada por Secretaria de Salud Departamental</t>
  </si>
  <si>
    <t>Mes</t>
  </si>
  <si>
    <t>Gráfico linea</t>
  </si>
  <si>
    <t>Semestre / Año</t>
  </si>
  <si>
    <t>Salud</t>
  </si>
  <si>
    <t>ODS</t>
  </si>
  <si>
    <t>1 año</t>
  </si>
  <si>
    <t>2 años</t>
  </si>
  <si>
    <t>3 años</t>
  </si>
  <si>
    <t>Años</t>
  </si>
  <si>
    <t>Semestre</t>
  </si>
  <si>
    <t>Enero a Junio</t>
  </si>
  <si>
    <t>Julio a Diciembre</t>
  </si>
  <si>
    <t>&lt; 1 año</t>
  </si>
  <si>
    <t>INDIGENA</t>
  </si>
  <si>
    <t>OTRO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</si>
  <si>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</si>
  <si>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</si>
  <si>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</si>
  <si>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</si>
  <si>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</si>
  <si>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</si>
  <si>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</si>
  <si>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</si>
  <si>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</si>
  <si>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</si>
  <si>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</si>
  <si>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</si>
  <si>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</si>
  <si>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</si>
  <si>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</si>
  <si>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</si>
  <si>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</si>
  <si>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</si>
  <si>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</si>
  <si>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</si>
  <si>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</si>
  <si>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</si>
  <si>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</si>
  <si>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</si>
  <si>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</si>
  <si>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</si>
  <si>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</si>
  <si>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</si>
  <si>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</si>
  <si>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</si>
  <si>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</si>
  <si>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</si>
  <si>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</si>
  <si>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</si>
  <si>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</si>
  <si>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</si>
  <si>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</si>
  <si>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</si>
  <si>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</si>
  <si>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</si>
  <si>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</si>
  <si>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</si>
  <si>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</si>
  <si>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</si>
  <si>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</si>
  <si>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</si>
  <si>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</si>
  <si>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</si>
  <si>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2024 Enero</t>
  </si>
  <si>
    <t>2024 Febrero</t>
  </si>
  <si>
    <t>2024 marzo</t>
  </si>
  <si>
    <t>2024 Abril</t>
  </si>
  <si>
    <t>2024 Mayo</t>
  </si>
  <si>
    <t>2024 Junio</t>
  </si>
  <si>
    <t>Etnia</t>
  </si>
  <si>
    <t>Mortalidad</t>
  </si>
  <si>
    <t>&lt; 1</t>
  </si>
  <si>
    <t>Masculino</t>
  </si>
  <si>
    <t>Femenino</t>
  </si>
  <si>
    <t>Número de casos de Mortalidad por IRA (Infección Respiratoria Aguda) en menores de 5 años en los municipios de Boyacá</t>
  </si>
  <si>
    <t xml:space="preserve">Número de casos de Mortalidad por IRA (Infección Respiratoria Aguda) en menores de 5 años </t>
  </si>
  <si>
    <t>Número de casos de Mortalidad por IRA (Infección Respiratoria Aguda) en menores de 5 años en cada municipio</t>
  </si>
  <si>
    <t>Número de casos de Mortalidad por IRA (Infección Respiratoria Aguda) en menores de 5 años por genero, edad y municipio</t>
  </si>
  <si>
    <t>Número total de casos de Mortalidad por IRA (Infección Respiratoria Aguda) en menores de 5 años distribuídos por Sexo</t>
  </si>
  <si>
    <t>Número de casos de Mortalidad por IRA (Infección Respiratoria Aguda) en menores de 5 años por etnia</t>
  </si>
  <si>
    <t xml:space="preserve">Comportamiento de casos por año y mes de Mortalidad por IRA (Infección Respiratoria Aguda) en menores de 5 años </t>
  </si>
  <si>
    <t>2024 Julio</t>
  </si>
  <si>
    <t>2024 Agosto</t>
  </si>
  <si>
    <t>2024 Septiembre</t>
  </si>
  <si>
    <t>2024 Octubre</t>
  </si>
  <si>
    <t>2024 Noviembre</t>
  </si>
  <si>
    <t>2024 Diciembre</t>
  </si>
  <si>
    <t>La gráfica muestra el número de casos de Mortalidad por IRA (Infección Respiratoria Aguda) en menores de 5 años por rango de edades desde el año 2020 hasta junio 2025</t>
  </si>
  <si>
    <t>Se presenta la sumatoria total de casos de mortalidad por ERA (enfermedad respiratoria aguda) en menores de 5 años distribuidos por genero durante el período enero 2020 a junio 2025</t>
  </si>
  <si>
    <t>La gráfica muestra el número de casos de Mortalidad por IRA (Infección Respiratoria Aguda) en menores de 5 años clasificados por Etnia desde el año 2020 hasta junio 2025</t>
  </si>
  <si>
    <t>Se presenta el número de casos por año y mes de Mortalidad por IRA (Infección Respiratoria Aguda) en menores de 5 años  de enero 2020 a junio 2025</t>
  </si>
  <si>
    <t>2025 Enero</t>
  </si>
  <si>
    <t>2025 Febrero</t>
  </si>
  <si>
    <t>2025 marzo</t>
  </si>
  <si>
    <t>2025 Abril</t>
  </si>
  <si>
    <t>2025 Mayo</t>
  </si>
  <si>
    <t>2025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</si>
</sst>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8" fillId="0" borderId="0" xfId="0" applyFont="1"/>
    <xf numFmtId="0" fontId="2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2" xfId="0" applyBorder="1"/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0" xfId="0" applyAlignment="1">
      <alignment horizontal="left"/>
    </xf>
    <xf numFmtId="0" fontId="8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MORTALIDAD POR IRA (INFECCIÓN RESPIRATORIA AGUDA) EN MENORES DE 5 AÑOS </a:t>
            </a:r>
            <a:r>
              <a:rPr lang="es-CO" b="1" baseline="0"/>
              <a:t>POR RANGO DE EDAD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3095011109073329"/>
          <c:y val="3.3755269277271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&lt; 1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1 año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2 años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3 años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3353359868316945E-3"/>
                  <c:y val="-2.250351285151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8140631272453077"/>
              <c:y val="0.7942715270316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34246636553E-2"/>
          <c:y val="0.84669437571652428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MORTALIDAD POR IRA (INFECCIÓN RESPIRATORIA AGUDA) EN MENORES DE 5 AÑOS DISTRIBUIDOS POR SEXO</a:t>
            </a:r>
          </a:p>
          <a:p>
            <a:pPr>
              <a:defRPr/>
            </a:pPr>
            <a:r>
              <a:rPr lang="en-US" sz="1400" b="1" baseline="0"/>
              <a:t>enero 2020 a </a:t>
            </a:r>
            <a:r>
              <a:rPr lang="es-CO" sz="1400" b="1" baseline="0"/>
              <a:t>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8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baseline="0">
                <a:effectLst/>
              </a:rPr>
              <a:t>NÚMERO DE CASOS DE MORTALIDAD POR IRA (INFECCIÓN RESPIRATORIA AGUDA) EN MENORES DE 5 AÑOS POR ETNIA</a:t>
            </a:r>
            <a:endParaRPr lang="es-CO" sz="1400">
              <a:effectLst/>
            </a:endParaRPr>
          </a:p>
          <a:p>
            <a:pPr>
              <a:defRPr/>
            </a:pPr>
            <a:r>
              <a:rPr lang="es-CO" sz="800" b="1" i="0" baseline="0">
                <a:effectLst/>
              </a:rPr>
              <a:t>enero 2020 a junio 2025</a:t>
            </a:r>
            <a:endParaRPr lang="es-CO" sz="800">
              <a:effectLst/>
            </a:endParaRPr>
          </a:p>
        </c:rich>
      </c:tx>
      <c:layout>
        <c:manualLayout>
          <c:xMode val="edge"/>
          <c:yMode val="edge"/>
          <c:x val="0.12034392877728353"/>
          <c:y val="1.0796219792899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INDIGENA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5">
                  <c:v>1</c:v>
                </c:pt>
                <c:pt idx="7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7-4D3A-A049-19C753F8E187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data4!$D$2:$D$12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7-4D3A-A049-19C753F8E1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3815968"/>
        <c:axId val="523817216"/>
      </c:barChart>
      <c:catAx>
        <c:axId val="52381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</a:t>
                </a:r>
                <a:r>
                  <a:rPr lang="es-CO" baseline="0"/>
                  <a:t> / Año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17216"/>
        <c:crosses val="autoZero"/>
        <c:auto val="1"/>
        <c:lblAlgn val="ctr"/>
        <c:lblOffset val="100"/>
        <c:noMultiLvlLbl val="0"/>
      </c:catAx>
      <c:valAx>
        <c:axId val="5238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8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COMPORTAMIENTO</a:t>
            </a:r>
            <a:r>
              <a:rPr lang="es-CO" b="1" baseline="0"/>
              <a:t> DE CASOS DE MORTALIDAD POR IRA (INFECCIÓN RESPIRATORIA AGUDA) EN MENORES DE 5 AÑOS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data6!$A$2:$BN$2</c:f>
              <c:numCache>
                <c:formatCode>General</c:formatCode>
                <c:ptCount val="6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11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10</xdr:col>
      <xdr:colOff>726281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33336</xdr:rowOff>
    </xdr:from>
    <xdr:to>
      <xdr:col>9</xdr:col>
      <xdr:colOff>38099</xdr:colOff>
      <xdr:row>38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C79421-01DF-41F6-A893-C20D04592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3" sqref="B3"/>
    </sheetView>
  </sheetViews>
  <sheetFormatPr baseColWidth="10" defaultColWidth="14.42578125" defaultRowHeight="15" customHeight="1"/>
  <sheetData>
    <row r="1" spans="1:2">
      <c r="A1" s="1" t="s">
        <v>14</v>
      </c>
      <c r="B1" s="1" t="s">
        <v>26</v>
      </c>
    </row>
    <row r="2" spans="1:2">
      <c r="A2" s="1" t="s">
        <v>15</v>
      </c>
      <c r="B2" s="1" t="s">
        <v>97</v>
      </c>
    </row>
    <row r="3" spans="1:2">
      <c r="A3" s="1" t="s">
        <v>0</v>
      </c>
      <c r="B3" s="1" t="s">
        <v>98</v>
      </c>
    </row>
    <row r="4" spans="1:2">
      <c r="A4" s="1" t="s">
        <v>16</v>
      </c>
      <c r="B4" s="1" t="s">
        <v>93</v>
      </c>
    </row>
    <row r="5" spans="1:2">
      <c r="A5" s="1" t="s">
        <v>1</v>
      </c>
      <c r="B5" s="5" t="s">
        <v>27</v>
      </c>
    </row>
    <row r="6" spans="1:2">
      <c r="A6" t="s">
        <v>2</v>
      </c>
      <c r="B6" s="5" t="s">
        <v>22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4"/>
  <sheetViews>
    <sheetView topLeftCell="A4" workbookViewId="0">
      <selection activeCell="H2" sqref="H2:H12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7" width="9.140625" customWidth="1"/>
    <col min="8" max="20" width="10.7109375" customWidth="1"/>
  </cols>
  <sheetData>
    <row r="1" spans="1:10">
      <c r="A1" s="7" t="s">
        <v>3</v>
      </c>
      <c r="B1" s="7" t="s">
        <v>32</v>
      </c>
      <c r="C1" s="8" t="s">
        <v>35</v>
      </c>
      <c r="D1" s="8" t="s">
        <v>28</v>
      </c>
      <c r="E1" s="8" t="s">
        <v>29</v>
      </c>
      <c r="F1" s="8" t="s">
        <v>30</v>
      </c>
      <c r="G1" s="7" t="s">
        <v>4</v>
      </c>
      <c r="J1" s="2"/>
    </row>
    <row r="2" spans="1:10">
      <c r="A2" s="9">
        <v>2020</v>
      </c>
      <c r="B2" s="12" t="s">
        <v>33</v>
      </c>
      <c r="C2">
        <v>3</v>
      </c>
      <c r="D2">
        <v>1</v>
      </c>
      <c r="G2" s="10">
        <f t="shared" ref="G2:G13" si="0">SUM(C2:F2)</f>
        <v>4</v>
      </c>
    </row>
    <row r="3" spans="1:10">
      <c r="A3" s="9">
        <v>2020</v>
      </c>
      <c r="B3" s="12" t="s">
        <v>34</v>
      </c>
      <c r="C3">
        <v>1</v>
      </c>
      <c r="E3">
        <v>1</v>
      </c>
      <c r="F3">
        <v>1</v>
      </c>
      <c r="G3" s="10">
        <f t="shared" si="0"/>
        <v>3</v>
      </c>
    </row>
    <row r="4" spans="1:10">
      <c r="A4" s="9">
        <v>2021</v>
      </c>
      <c r="B4" s="12" t="s">
        <v>33</v>
      </c>
      <c r="C4">
        <v>2</v>
      </c>
      <c r="E4">
        <v>1</v>
      </c>
      <c r="G4" s="10">
        <f t="shared" si="0"/>
        <v>3</v>
      </c>
    </row>
    <row r="5" spans="1:10">
      <c r="A5" s="9">
        <v>2021</v>
      </c>
      <c r="B5" s="12" t="s">
        <v>34</v>
      </c>
      <c r="F5">
        <v>1</v>
      </c>
      <c r="G5" s="10">
        <f t="shared" si="0"/>
        <v>1</v>
      </c>
    </row>
    <row r="6" spans="1:10">
      <c r="A6" s="9">
        <v>2022</v>
      </c>
      <c r="B6" s="12" t="s">
        <v>33</v>
      </c>
      <c r="G6" s="10">
        <f t="shared" si="0"/>
        <v>0</v>
      </c>
    </row>
    <row r="7" spans="1:10">
      <c r="A7" s="9">
        <v>2022</v>
      </c>
      <c r="B7" s="12" t="s">
        <v>34</v>
      </c>
      <c r="C7">
        <v>2</v>
      </c>
      <c r="D7">
        <v>4</v>
      </c>
      <c r="G7" s="10">
        <f t="shared" si="0"/>
        <v>6</v>
      </c>
    </row>
    <row r="8" spans="1:10">
      <c r="A8" s="9">
        <v>2023</v>
      </c>
      <c r="B8" s="12" t="s">
        <v>33</v>
      </c>
      <c r="C8">
        <v>1</v>
      </c>
      <c r="D8">
        <v>2</v>
      </c>
      <c r="G8" s="10">
        <f t="shared" si="0"/>
        <v>3</v>
      </c>
    </row>
    <row r="9" spans="1:10">
      <c r="A9" s="9">
        <v>2023</v>
      </c>
      <c r="B9" s="12" t="s">
        <v>34</v>
      </c>
      <c r="C9">
        <v>4</v>
      </c>
      <c r="D9">
        <v>1</v>
      </c>
      <c r="G9" s="10">
        <f t="shared" si="0"/>
        <v>5</v>
      </c>
    </row>
    <row r="10" spans="1:10">
      <c r="A10" s="9">
        <v>2024</v>
      </c>
      <c r="B10" s="12" t="s">
        <v>33</v>
      </c>
      <c r="C10">
        <v>2</v>
      </c>
      <c r="D10">
        <v>1</v>
      </c>
      <c r="E10">
        <v>1</v>
      </c>
      <c r="G10" s="10">
        <f t="shared" si="0"/>
        <v>4</v>
      </c>
    </row>
    <row r="11" spans="1:10">
      <c r="A11" s="9">
        <v>2024</v>
      </c>
      <c r="B11" s="12" t="s">
        <v>34</v>
      </c>
      <c r="G11" s="10">
        <f t="shared" si="0"/>
        <v>0</v>
      </c>
    </row>
    <row r="12" spans="1:10">
      <c r="A12" s="9">
        <v>2025</v>
      </c>
      <c r="B12" s="12" t="s">
        <v>33</v>
      </c>
      <c r="C12">
        <v>2</v>
      </c>
      <c r="G12" s="10">
        <f t="shared" si="0"/>
        <v>2</v>
      </c>
    </row>
    <row r="13" spans="1:10">
      <c r="A13" s="11" t="s">
        <v>21</v>
      </c>
      <c r="B13" s="11"/>
      <c r="C13" s="10">
        <f>SUM(C2:C12)</f>
        <v>17</v>
      </c>
      <c r="D13" s="10">
        <f t="shared" ref="D13:G13" si="1">SUM(D2:D12)</f>
        <v>9</v>
      </c>
      <c r="E13" s="10">
        <f t="shared" si="1"/>
        <v>3</v>
      </c>
      <c r="F13" s="10">
        <f t="shared" si="1"/>
        <v>2</v>
      </c>
      <c r="G13" s="10">
        <f t="shared" si="1"/>
        <v>31</v>
      </c>
    </row>
    <row r="15" spans="1:10">
      <c r="A15" s="1" t="s">
        <v>0</v>
      </c>
      <c r="B15" s="5" t="s">
        <v>98</v>
      </c>
      <c r="C15" s="1"/>
    </row>
    <row r="16" spans="1:10">
      <c r="A16" s="5" t="s">
        <v>15</v>
      </c>
      <c r="B16" s="1" t="s">
        <v>110</v>
      </c>
      <c r="C16" s="5"/>
    </row>
    <row r="17" spans="1:3">
      <c r="A17" s="1" t="s">
        <v>5</v>
      </c>
      <c r="B17" s="5" t="s">
        <v>31</v>
      </c>
      <c r="C17" s="1"/>
    </row>
    <row r="18" spans="1:3">
      <c r="A18" s="1" t="s">
        <v>7</v>
      </c>
      <c r="B18" s="1" t="s">
        <v>25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11</v>
      </c>
      <c r="B20" s="1" t="s">
        <v>17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14" workbookViewId="0">
      <selection activeCell="E37" sqref="E37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6" width="10.7109375" customWidth="1"/>
  </cols>
  <sheetData>
    <row r="1" spans="1:5">
      <c r="A1" s="3" t="s">
        <v>18</v>
      </c>
      <c r="B1" s="3" t="s">
        <v>3</v>
      </c>
      <c r="C1" s="3" t="s">
        <v>8</v>
      </c>
      <c r="D1" s="3" t="s">
        <v>9</v>
      </c>
      <c r="E1" s="3" t="s">
        <v>10</v>
      </c>
    </row>
    <row r="2" spans="1:5">
      <c r="A2">
        <v>15001</v>
      </c>
      <c r="B2">
        <v>2020</v>
      </c>
      <c r="C2" s="14" t="s">
        <v>94</v>
      </c>
      <c r="D2" t="s">
        <v>95</v>
      </c>
      <c r="E2">
        <v>1</v>
      </c>
    </row>
    <row r="3" spans="1:5">
      <c r="A3">
        <v>15001</v>
      </c>
      <c r="B3">
        <v>2021</v>
      </c>
      <c r="C3" s="14">
        <v>3</v>
      </c>
      <c r="D3" t="s">
        <v>95</v>
      </c>
      <c r="E3">
        <v>1</v>
      </c>
    </row>
    <row r="4" spans="1:5">
      <c r="A4">
        <v>15001</v>
      </c>
      <c r="B4">
        <v>2021</v>
      </c>
      <c r="C4" s="14" t="s">
        <v>94</v>
      </c>
      <c r="D4" t="s">
        <v>96</v>
      </c>
      <c r="E4">
        <v>1</v>
      </c>
    </row>
    <row r="5" spans="1:5">
      <c r="A5">
        <v>15001</v>
      </c>
      <c r="B5">
        <v>2022</v>
      </c>
      <c r="C5" s="14">
        <v>1</v>
      </c>
      <c r="D5" t="s">
        <v>95</v>
      </c>
      <c r="E5">
        <v>2</v>
      </c>
    </row>
    <row r="6" spans="1:5">
      <c r="A6">
        <v>15001</v>
      </c>
      <c r="B6">
        <v>2024</v>
      </c>
      <c r="C6" s="14">
        <v>2</v>
      </c>
      <c r="D6" t="s">
        <v>96</v>
      </c>
      <c r="E6">
        <v>1</v>
      </c>
    </row>
    <row r="7" spans="1:5">
      <c r="A7">
        <v>15183</v>
      </c>
      <c r="B7">
        <v>2023</v>
      </c>
      <c r="C7" s="14" t="s">
        <v>94</v>
      </c>
      <c r="D7" t="s">
        <v>95</v>
      </c>
      <c r="E7">
        <v>1</v>
      </c>
    </row>
    <row r="8" spans="1:5">
      <c r="A8">
        <v>15223</v>
      </c>
      <c r="B8">
        <v>2020</v>
      </c>
      <c r="C8" s="14">
        <v>2</v>
      </c>
      <c r="D8" t="s">
        <v>95</v>
      </c>
      <c r="E8">
        <v>1</v>
      </c>
    </row>
    <row r="9" spans="1:5">
      <c r="A9">
        <v>15223</v>
      </c>
      <c r="B9">
        <v>2020</v>
      </c>
      <c r="C9" s="14" t="s">
        <v>94</v>
      </c>
      <c r="D9" t="s">
        <v>95</v>
      </c>
      <c r="E9">
        <v>1</v>
      </c>
    </row>
    <row r="10" spans="1:5">
      <c r="A10">
        <v>15223</v>
      </c>
      <c r="B10">
        <v>2022</v>
      </c>
      <c r="C10" s="14" t="s">
        <v>94</v>
      </c>
      <c r="D10" t="s">
        <v>95</v>
      </c>
      <c r="E10">
        <v>1</v>
      </c>
    </row>
    <row r="11" spans="1:5">
      <c r="A11">
        <v>15223</v>
      </c>
      <c r="B11">
        <v>2023</v>
      </c>
      <c r="C11" s="14" t="s">
        <v>94</v>
      </c>
      <c r="D11" t="s">
        <v>95</v>
      </c>
      <c r="E11">
        <v>1</v>
      </c>
    </row>
    <row r="12" spans="1:5">
      <c r="A12">
        <v>15224</v>
      </c>
      <c r="B12">
        <v>2022</v>
      </c>
      <c r="C12" s="14" t="s">
        <v>94</v>
      </c>
      <c r="D12" t="s">
        <v>95</v>
      </c>
      <c r="E12">
        <v>1</v>
      </c>
    </row>
    <row r="13" spans="1:5">
      <c r="A13">
        <v>15238</v>
      </c>
      <c r="B13">
        <v>2020</v>
      </c>
      <c r="C13" s="14" t="s">
        <v>94</v>
      </c>
      <c r="D13" t="s">
        <v>95</v>
      </c>
      <c r="E13">
        <v>1</v>
      </c>
    </row>
    <row r="14" spans="1:5">
      <c r="A14">
        <v>15238</v>
      </c>
      <c r="B14">
        <v>2021</v>
      </c>
      <c r="C14" s="14" t="s">
        <v>94</v>
      </c>
      <c r="D14" t="s">
        <v>95</v>
      </c>
      <c r="E14">
        <v>1</v>
      </c>
    </row>
    <row r="15" spans="1:5">
      <c r="A15">
        <v>15238</v>
      </c>
      <c r="B15">
        <v>2022</v>
      </c>
      <c r="C15" s="14">
        <v>1</v>
      </c>
      <c r="D15" t="s">
        <v>95</v>
      </c>
      <c r="E15">
        <v>1</v>
      </c>
    </row>
    <row r="16" spans="1:5">
      <c r="A16">
        <v>15322</v>
      </c>
      <c r="B16">
        <v>2021</v>
      </c>
      <c r="C16" s="14">
        <v>2</v>
      </c>
      <c r="D16" t="s">
        <v>95</v>
      </c>
      <c r="E16">
        <v>1</v>
      </c>
    </row>
    <row r="17" spans="1:5">
      <c r="A17">
        <v>15332</v>
      </c>
      <c r="B17">
        <v>2020</v>
      </c>
      <c r="C17" s="14">
        <v>1</v>
      </c>
      <c r="D17" t="s">
        <v>95</v>
      </c>
      <c r="E17">
        <v>1</v>
      </c>
    </row>
    <row r="18" spans="1:5">
      <c r="A18">
        <v>15332</v>
      </c>
      <c r="B18">
        <v>2020</v>
      </c>
      <c r="C18" s="14">
        <v>3</v>
      </c>
      <c r="D18" t="s">
        <v>96</v>
      </c>
      <c r="E18">
        <v>1</v>
      </c>
    </row>
    <row r="19" spans="1:5">
      <c r="A19">
        <v>15332</v>
      </c>
      <c r="B19">
        <v>2023</v>
      </c>
      <c r="C19" s="14" t="s">
        <v>94</v>
      </c>
      <c r="D19" t="s">
        <v>96</v>
      </c>
      <c r="E19">
        <v>1</v>
      </c>
    </row>
    <row r="20" spans="1:5">
      <c r="A20">
        <v>15332</v>
      </c>
      <c r="B20">
        <v>2023</v>
      </c>
      <c r="C20" s="14" t="s">
        <v>94</v>
      </c>
      <c r="D20" t="s">
        <v>95</v>
      </c>
      <c r="E20">
        <v>1</v>
      </c>
    </row>
    <row r="21" spans="1:5" ht="15.75" customHeight="1">
      <c r="A21">
        <v>15469</v>
      </c>
      <c r="B21">
        <v>2020</v>
      </c>
      <c r="C21" s="14" t="s">
        <v>94</v>
      </c>
      <c r="D21" t="s">
        <v>95</v>
      </c>
      <c r="E21">
        <v>1</v>
      </c>
    </row>
    <row r="22" spans="1:5" ht="15.75" customHeight="1">
      <c r="A22">
        <v>15516</v>
      </c>
      <c r="B22">
        <v>2023</v>
      </c>
      <c r="C22" s="14">
        <v>1</v>
      </c>
      <c r="D22" t="s">
        <v>95</v>
      </c>
      <c r="E22">
        <v>1</v>
      </c>
    </row>
    <row r="23" spans="1:5" ht="15.75" customHeight="1">
      <c r="A23">
        <v>15516</v>
      </c>
      <c r="B23">
        <v>2024</v>
      </c>
      <c r="C23" s="14">
        <v>1</v>
      </c>
      <c r="D23" t="s">
        <v>95</v>
      </c>
      <c r="E23">
        <v>1</v>
      </c>
    </row>
    <row r="24" spans="1:5" ht="15.75" customHeight="1">
      <c r="A24">
        <v>15572</v>
      </c>
      <c r="B24">
        <v>2023</v>
      </c>
      <c r="C24" s="14">
        <v>1</v>
      </c>
      <c r="D24" t="s">
        <v>95</v>
      </c>
      <c r="E24">
        <v>1</v>
      </c>
    </row>
    <row r="25" spans="1:5" ht="15.75" customHeight="1">
      <c r="A25">
        <v>15572</v>
      </c>
      <c r="B25">
        <v>2024</v>
      </c>
      <c r="C25" s="14" t="s">
        <v>94</v>
      </c>
      <c r="D25" t="s">
        <v>96</v>
      </c>
      <c r="E25">
        <v>1</v>
      </c>
    </row>
    <row r="26" spans="1:5" ht="15.75" customHeight="1">
      <c r="A26">
        <v>15673</v>
      </c>
      <c r="B26">
        <v>2023</v>
      </c>
      <c r="C26" s="14" t="s">
        <v>94</v>
      </c>
      <c r="D26" t="s">
        <v>96</v>
      </c>
      <c r="E26">
        <v>1</v>
      </c>
    </row>
    <row r="27" spans="1:5" ht="15.75" customHeight="1">
      <c r="A27">
        <v>15740</v>
      </c>
      <c r="B27">
        <v>2024</v>
      </c>
      <c r="C27" s="14" t="s">
        <v>94</v>
      </c>
      <c r="D27" t="s">
        <v>95</v>
      </c>
      <c r="E27">
        <v>1</v>
      </c>
    </row>
    <row r="28" spans="1:5" ht="15.75" customHeight="1">
      <c r="A28">
        <v>15759</v>
      </c>
      <c r="B28">
        <v>2023</v>
      </c>
      <c r="C28" s="14">
        <v>1</v>
      </c>
      <c r="D28" t="s">
        <v>96</v>
      </c>
      <c r="E28">
        <v>1</v>
      </c>
    </row>
    <row r="29" spans="1:5" ht="15.75" customHeight="1">
      <c r="A29">
        <v>15861</v>
      </c>
      <c r="B29">
        <v>2022</v>
      </c>
      <c r="C29" s="14">
        <v>1</v>
      </c>
      <c r="D29" t="s">
        <v>95</v>
      </c>
      <c r="E29">
        <v>1</v>
      </c>
    </row>
    <row r="30" spans="1:5" ht="15.75" customHeight="1">
      <c r="A30">
        <v>15223</v>
      </c>
      <c r="B30">
        <v>2025</v>
      </c>
      <c r="C30" s="14" t="s">
        <v>94</v>
      </c>
      <c r="D30" t="s">
        <v>96</v>
      </c>
      <c r="E30">
        <v>1</v>
      </c>
    </row>
    <row r="31" spans="1:5" ht="15.75" customHeight="1">
      <c r="A31">
        <v>15407</v>
      </c>
      <c r="B31">
        <v>2025</v>
      </c>
      <c r="C31" s="14" t="s">
        <v>94</v>
      </c>
      <c r="D31" t="s">
        <v>95</v>
      </c>
      <c r="E31">
        <v>1</v>
      </c>
    </row>
    <row r="32" spans="1:5" ht="15.75" customHeight="1"/>
    <row r="33" spans="1:2" ht="15" customHeight="1">
      <c r="A33" s="1" t="s">
        <v>11</v>
      </c>
      <c r="B33" s="1" t="s">
        <v>12</v>
      </c>
    </row>
    <row r="34" spans="1:2" ht="15" customHeight="1">
      <c r="A34" s="1" t="s">
        <v>13</v>
      </c>
      <c r="B34" s="5" t="s">
        <v>99</v>
      </c>
    </row>
    <row r="35" spans="1:2" ht="15" customHeight="1">
      <c r="A35" s="1" t="s">
        <v>15</v>
      </c>
      <c r="B35" s="5" t="s">
        <v>100</v>
      </c>
    </row>
    <row r="36" spans="1:2" ht="15" customHeight="1">
      <c r="A36" s="1" t="s">
        <v>5</v>
      </c>
      <c r="B36" s="1" t="s">
        <v>6</v>
      </c>
    </row>
  </sheetData>
  <autoFilter ref="A1:E32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4" sqref="B4"/>
    </sheetView>
  </sheetViews>
  <sheetFormatPr baseColWidth="10" defaultRowHeight="15"/>
  <sheetData>
    <row r="1" spans="1:2">
      <c r="A1" t="s">
        <v>20</v>
      </c>
      <c r="B1" s="4" t="s">
        <v>10</v>
      </c>
    </row>
    <row r="2" spans="1:2">
      <c r="A2" t="s">
        <v>95</v>
      </c>
      <c r="B2" s="4">
        <v>8</v>
      </c>
    </row>
    <row r="3" spans="1:2">
      <c r="A3" t="s">
        <v>96</v>
      </c>
      <c r="B3" s="4">
        <v>23</v>
      </c>
    </row>
    <row r="5" spans="1:2">
      <c r="A5" s="1" t="s">
        <v>13</v>
      </c>
      <c r="B5" s="5" t="s">
        <v>101</v>
      </c>
    </row>
    <row r="6" spans="1:2">
      <c r="A6" s="1" t="s">
        <v>15</v>
      </c>
      <c r="B6" s="1" t="s">
        <v>111</v>
      </c>
    </row>
    <row r="7" spans="1:2">
      <c r="A7" s="1" t="s">
        <v>5</v>
      </c>
      <c r="B7" s="1" t="s">
        <v>6</v>
      </c>
    </row>
    <row r="9" spans="1:2">
      <c r="A9" t="s">
        <v>11</v>
      </c>
      <c r="B9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E088-0C2E-4CAB-9D07-CC3C8936241E}">
  <dimension ref="A1:H1004"/>
  <sheetViews>
    <sheetView topLeftCell="A16" workbookViewId="0">
      <selection activeCell="B17" sqref="B17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5" width="9.140625" customWidth="1"/>
    <col min="6" max="18" width="10.7109375" customWidth="1"/>
  </cols>
  <sheetData>
    <row r="1" spans="1:8">
      <c r="A1" s="7" t="s">
        <v>3</v>
      </c>
      <c r="B1" s="7" t="s">
        <v>32</v>
      </c>
      <c r="C1" s="8" t="s">
        <v>36</v>
      </c>
      <c r="D1" s="8" t="s">
        <v>37</v>
      </c>
      <c r="E1" s="7" t="s">
        <v>4</v>
      </c>
      <c r="H1" s="2"/>
    </row>
    <row r="2" spans="1:8">
      <c r="A2" s="9">
        <v>2020</v>
      </c>
      <c r="B2" s="12" t="s">
        <v>33</v>
      </c>
      <c r="C2">
        <v>1</v>
      </c>
      <c r="D2">
        <v>3</v>
      </c>
      <c r="E2" s="10">
        <f t="shared" ref="E2:E13" si="0">SUM(C2:D2)</f>
        <v>4</v>
      </c>
    </row>
    <row r="3" spans="1:8">
      <c r="A3" s="9">
        <v>2020</v>
      </c>
      <c r="B3" s="12" t="s">
        <v>34</v>
      </c>
      <c r="C3">
        <v>2</v>
      </c>
      <c r="D3">
        <v>1</v>
      </c>
      <c r="E3" s="10">
        <f t="shared" si="0"/>
        <v>3</v>
      </c>
    </row>
    <row r="4" spans="1:8">
      <c r="A4" s="9">
        <v>2021</v>
      </c>
      <c r="B4" s="12" t="s">
        <v>33</v>
      </c>
      <c r="C4">
        <v>1</v>
      </c>
      <c r="D4">
        <v>2</v>
      </c>
      <c r="E4" s="10">
        <f t="shared" si="0"/>
        <v>3</v>
      </c>
    </row>
    <row r="5" spans="1:8">
      <c r="A5" s="9">
        <v>2021</v>
      </c>
      <c r="B5" s="12" t="s">
        <v>34</v>
      </c>
      <c r="D5">
        <v>1</v>
      </c>
      <c r="E5" s="10">
        <f t="shared" si="0"/>
        <v>1</v>
      </c>
    </row>
    <row r="6" spans="1:8">
      <c r="A6" s="9">
        <v>2022</v>
      </c>
      <c r="B6" s="12" t="s">
        <v>33</v>
      </c>
      <c r="E6" s="10">
        <f t="shared" si="0"/>
        <v>0</v>
      </c>
    </row>
    <row r="7" spans="1:8">
      <c r="A7" s="9">
        <v>2022</v>
      </c>
      <c r="B7" s="12" t="s">
        <v>34</v>
      </c>
      <c r="C7">
        <v>1</v>
      </c>
      <c r="D7">
        <v>5</v>
      </c>
      <c r="E7" s="10">
        <f t="shared" si="0"/>
        <v>6</v>
      </c>
    </row>
    <row r="8" spans="1:8">
      <c r="A8" s="9">
        <v>2023</v>
      </c>
      <c r="B8" s="12" t="s">
        <v>33</v>
      </c>
      <c r="D8">
        <v>3</v>
      </c>
      <c r="E8" s="10">
        <f t="shared" si="0"/>
        <v>3</v>
      </c>
    </row>
    <row r="9" spans="1:8">
      <c r="A9" s="9">
        <v>2023</v>
      </c>
      <c r="B9" s="12" t="s">
        <v>34</v>
      </c>
      <c r="C9">
        <v>4</v>
      </c>
      <c r="D9">
        <v>1</v>
      </c>
      <c r="E9" s="10">
        <f t="shared" si="0"/>
        <v>5</v>
      </c>
    </row>
    <row r="10" spans="1:8">
      <c r="A10" s="9">
        <v>2024</v>
      </c>
      <c r="B10" s="12" t="s">
        <v>33</v>
      </c>
      <c r="D10">
        <v>4</v>
      </c>
      <c r="E10" s="10">
        <f t="shared" si="0"/>
        <v>4</v>
      </c>
    </row>
    <row r="11" spans="1:8">
      <c r="A11" s="9">
        <v>2024</v>
      </c>
      <c r="B11" s="12" t="s">
        <v>34</v>
      </c>
      <c r="E11" s="10">
        <v>0</v>
      </c>
    </row>
    <row r="12" spans="1:8">
      <c r="A12" s="9">
        <v>2025</v>
      </c>
      <c r="B12" s="12" t="s">
        <v>33</v>
      </c>
      <c r="C12">
        <v>1</v>
      </c>
      <c r="D12">
        <v>1</v>
      </c>
      <c r="E12" s="10">
        <v>2</v>
      </c>
    </row>
    <row r="13" spans="1:8">
      <c r="A13" s="11" t="s">
        <v>21</v>
      </c>
      <c r="B13" s="11"/>
      <c r="C13" s="10">
        <f>SUM(C2:C12)</f>
        <v>10</v>
      </c>
      <c r="D13" s="10">
        <f>SUM(D2:D12)</f>
        <v>21</v>
      </c>
      <c r="E13" s="10">
        <f>SUM(E2:E12)</f>
        <v>31</v>
      </c>
    </row>
    <row r="15" spans="1:8">
      <c r="A15" s="1" t="s">
        <v>0</v>
      </c>
      <c r="B15" s="5" t="s">
        <v>102</v>
      </c>
      <c r="C15" s="1"/>
    </row>
    <row r="16" spans="1:8">
      <c r="A16" s="5" t="s">
        <v>15</v>
      </c>
      <c r="B16" s="1" t="s">
        <v>112</v>
      </c>
      <c r="C16" s="5"/>
    </row>
    <row r="17" spans="1:3">
      <c r="A17" s="1" t="s">
        <v>5</v>
      </c>
      <c r="B17" s="5" t="s">
        <v>92</v>
      </c>
      <c r="C17" s="1"/>
    </row>
    <row r="18" spans="1:3">
      <c r="A18" s="1" t="s">
        <v>7</v>
      </c>
      <c r="B18" s="1" t="s">
        <v>25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11</v>
      </c>
      <c r="B20" s="1" t="s">
        <v>17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70" zoomScaleNormal="70" workbookViewId="0">
      <selection activeCell="R17" sqref="R17"/>
    </sheetView>
  </sheetViews>
  <sheetFormatPr baseColWidth="10" defaultRowHeight="15"/>
  <sheetData>
    <row r="1" spans="1:66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6" t="s">
        <v>53</v>
      </c>
      <c r="Q1" s="6" t="s">
        <v>54</v>
      </c>
      <c r="R1" s="6" t="s">
        <v>55</v>
      </c>
      <c r="S1" s="6" t="s">
        <v>56</v>
      </c>
      <c r="T1" s="6" t="s">
        <v>57</v>
      </c>
      <c r="U1" s="6" t="s">
        <v>58</v>
      </c>
      <c r="V1" s="6" t="s">
        <v>59</v>
      </c>
      <c r="W1" s="6" t="s">
        <v>60</v>
      </c>
      <c r="X1" s="6" t="s">
        <v>61</v>
      </c>
      <c r="Y1" s="6" t="s">
        <v>62</v>
      </c>
      <c r="Z1" s="6" t="s">
        <v>63</v>
      </c>
      <c r="AA1" s="6" t="s">
        <v>64</v>
      </c>
      <c r="AB1" s="6" t="s">
        <v>65</v>
      </c>
      <c r="AC1" s="6" t="s">
        <v>66</v>
      </c>
      <c r="AD1" s="6" t="s">
        <v>67</v>
      </c>
      <c r="AE1" s="6" t="s">
        <v>68</v>
      </c>
      <c r="AF1" s="6" t="s">
        <v>69</v>
      </c>
      <c r="AG1" s="6" t="s">
        <v>70</v>
      </c>
      <c r="AH1" s="6" t="s">
        <v>71</v>
      </c>
      <c r="AI1" s="6" t="s">
        <v>72</v>
      </c>
      <c r="AJ1" s="6" t="s">
        <v>73</v>
      </c>
      <c r="AK1" s="6" t="s">
        <v>74</v>
      </c>
      <c r="AL1" s="6" t="s">
        <v>75</v>
      </c>
      <c r="AM1" s="6" t="s">
        <v>76</v>
      </c>
      <c r="AN1" s="6" t="s">
        <v>77</v>
      </c>
      <c r="AO1" s="6" t="s">
        <v>78</v>
      </c>
      <c r="AP1" s="6" t="s">
        <v>79</v>
      </c>
      <c r="AQ1" s="6" t="s">
        <v>80</v>
      </c>
      <c r="AR1" s="6" t="s">
        <v>81</v>
      </c>
      <c r="AS1" s="6" t="s">
        <v>82</v>
      </c>
      <c r="AT1" s="6" t="s">
        <v>83</v>
      </c>
      <c r="AU1" s="6" t="s">
        <v>84</v>
      </c>
      <c r="AV1" s="6" t="s">
        <v>85</v>
      </c>
      <c r="AW1" s="6" t="s">
        <v>86</v>
      </c>
      <c r="AX1" s="6" t="s">
        <v>87</v>
      </c>
      <c r="AY1" s="6" t="s">
        <v>88</v>
      </c>
      <c r="AZ1" s="6" t="s">
        <v>89</v>
      </c>
      <c r="BA1" s="6" t="s">
        <v>90</v>
      </c>
      <c r="BB1" s="6" t="s">
        <v>91</v>
      </c>
      <c r="BC1" s="6" t="s">
        <v>104</v>
      </c>
      <c r="BD1" s="6" t="s">
        <v>105</v>
      </c>
      <c r="BE1" s="6" t="s">
        <v>106</v>
      </c>
      <c r="BF1" s="6" t="s">
        <v>107</v>
      </c>
      <c r="BG1" s="6" t="s">
        <v>108</v>
      </c>
      <c r="BH1" s="6" t="s">
        <v>109</v>
      </c>
      <c r="BI1" s="6" t="s">
        <v>114</v>
      </c>
      <c r="BJ1" s="6" t="s">
        <v>115</v>
      </c>
      <c r="BK1" s="6" t="s">
        <v>116</v>
      </c>
      <c r="BL1" s="6" t="s">
        <v>117</v>
      </c>
      <c r="BM1" s="6" t="s">
        <v>118</v>
      </c>
      <c r="BN1" s="6" t="s">
        <v>119</v>
      </c>
    </row>
    <row r="2" spans="1:66">
      <c r="A2" s="13">
        <v>0</v>
      </c>
      <c r="B2" s="13">
        <v>1</v>
      </c>
      <c r="C2" s="13">
        <v>1</v>
      </c>
      <c r="D2" s="13">
        <v>0</v>
      </c>
      <c r="E2" s="13">
        <v>0</v>
      </c>
      <c r="F2" s="13">
        <v>2</v>
      </c>
      <c r="G2" s="13">
        <v>0</v>
      </c>
      <c r="H2" s="13">
        <v>2</v>
      </c>
      <c r="I2" s="13">
        <v>0</v>
      </c>
      <c r="J2" s="13">
        <v>1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1</v>
      </c>
      <c r="Q2" s="13">
        <v>0</v>
      </c>
      <c r="R2" s="13">
        <v>2</v>
      </c>
      <c r="S2" s="13">
        <v>0</v>
      </c>
      <c r="T2" s="13">
        <v>1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1</v>
      </c>
      <c r="AF2" s="13">
        <v>0</v>
      </c>
      <c r="AG2" s="13">
        <v>0</v>
      </c>
      <c r="AH2" s="13">
        <v>1</v>
      </c>
      <c r="AI2" s="13">
        <v>2</v>
      </c>
      <c r="AJ2" s="13">
        <v>2</v>
      </c>
      <c r="AK2" s="13">
        <v>0</v>
      </c>
      <c r="AL2" s="13">
        <v>0</v>
      </c>
      <c r="AM2" s="13">
        <v>1</v>
      </c>
      <c r="AN2" s="13">
        <v>1</v>
      </c>
      <c r="AO2" s="13">
        <v>1</v>
      </c>
      <c r="AP2" s="13">
        <v>0</v>
      </c>
      <c r="AQ2" s="13">
        <v>2</v>
      </c>
      <c r="AR2" s="13">
        <v>1</v>
      </c>
      <c r="AS2" s="13">
        <v>1</v>
      </c>
      <c r="AT2" s="13">
        <v>1</v>
      </c>
      <c r="AU2" s="13">
        <v>0</v>
      </c>
      <c r="AV2" s="13">
        <v>0</v>
      </c>
      <c r="AW2" s="13">
        <v>1</v>
      </c>
      <c r="AX2" s="13">
        <v>0</v>
      </c>
      <c r="AY2" s="13">
        <v>0</v>
      </c>
      <c r="AZ2" s="13">
        <v>1</v>
      </c>
      <c r="BA2" s="13">
        <v>2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5">
        <v>0</v>
      </c>
      <c r="BJ2" s="15">
        <v>0</v>
      </c>
      <c r="BK2" s="15">
        <v>1</v>
      </c>
      <c r="BL2" s="15">
        <v>1</v>
      </c>
      <c r="BM2" s="15">
        <v>0</v>
      </c>
      <c r="BN2" s="15">
        <v>0</v>
      </c>
    </row>
    <row r="4" spans="1:66">
      <c r="A4" s="1" t="s">
        <v>13</v>
      </c>
      <c r="B4" s="5" t="s">
        <v>103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15</v>
      </c>
      <c r="B5" s="1" t="s">
        <v>113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11</v>
      </c>
      <c r="B9" t="s">
        <v>24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2025-10-15T21:15:29Z</dcterms:modified>
</cp:coreProperties>
</file>