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wnloads\DATA ACTUALIZADO\"/>
    </mc:Choice>
  </mc:AlternateContent>
  <xr:revisionPtr revIDLastSave="0" documentId="13_ncr:1_{DBCA651F-BD0F-485B-911E-D516123D01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8" r:id="rId5"/>
    <sheet name="data5" sheetId="12" r:id="rId6"/>
  </sheets>
  <definedNames>
    <definedName name="_xlnm._FilterDatabase" localSheetId="2" hidden="1">data2!$A$1:$D$81</definedName>
  </definedNames>
  <calcPr calcId="191029"/>
  <extLs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K13" i="2" l="1"/>
  <c r="P12" i="2"/>
  <c r="P10" i="2"/>
  <c r="G13" i="2"/>
  <c r="E13" i="2"/>
  <c r="I13" i="2"/>
  <c r="H13" i="2"/>
  <c r="F13" i="2"/>
  <c r="P11" i="2" l="1"/>
  <c r="P9" i="2"/>
  <c r="P8" i="2"/>
  <c r="P7" i="2"/>
  <c r="P6" i="2"/>
  <c r="P5" i="2"/>
  <c r="P4" i="2"/>
  <c r="P3" i="2"/>
  <c r="P2" i="2"/>
  <c r="O13" i="2"/>
  <c r="N13" i="2"/>
  <c r="M13" i="2"/>
  <c r="L13" i="2"/>
  <c r="J13" i="2"/>
  <c r="C13" i="2"/>
  <c r="D13" i="2"/>
  <c r="P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<sst xmlns="http://schemas.openxmlformats.org/spreadsheetml/2006/main" count="474" uniqueCount="164">
  <si>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</si>
  <si>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</si>
  <si>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</si>
  <si>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</si>
  <si>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</si>
  <si>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</si>
  <si>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</si>
  <si>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</si>
  <si>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Rango de edad</t>
  </si>
  <si>
    <t>Casos</t>
  </si>
  <si>
    <t>Tipo:</t>
  </si>
  <si>
    <t>Mapa</t>
  </si>
  <si>
    <t>Título:</t>
  </si>
  <si>
    <t>Categoría:</t>
  </si>
  <si>
    <t>Descripción:</t>
  </si>
  <si>
    <t>Subcategoría:</t>
  </si>
  <si>
    <t>Gráfica de columnas</t>
  </si>
  <si>
    <t>Código</t>
  </si>
  <si>
    <t>Total</t>
  </si>
  <si>
    <t>Base de datos entregada por Secretaria de Salud Departamental</t>
  </si>
  <si>
    <t>Gráfico linea</t>
  </si>
  <si>
    <t>Semestre / Año</t>
  </si>
  <si>
    <t>Salud</t>
  </si>
  <si>
    <t>ODS</t>
  </si>
  <si>
    <t>Semestre</t>
  </si>
  <si>
    <t>Enero a Junio</t>
  </si>
  <si>
    <t>Julio a Diciembre</t>
  </si>
  <si>
    <t>2020 Enero</t>
  </si>
  <si>
    <t>2020 Febrero</t>
  </si>
  <si>
    <t>2020 marzo</t>
  </si>
  <si>
    <t>2020 Abril</t>
  </si>
  <si>
    <t>2020 Mayo</t>
  </si>
  <si>
    <t>2020 Junio</t>
  </si>
  <si>
    <t>2020 Julio</t>
  </si>
  <si>
    <t>2020 Agosto</t>
  </si>
  <si>
    <t>2020 Septiembre</t>
  </si>
  <si>
    <t>2020 Octubre</t>
  </si>
  <si>
    <t>2020 Noviembre</t>
  </si>
  <si>
    <t>2020 Diciembre</t>
  </si>
  <si>
    <t>2021 Enero</t>
  </si>
  <si>
    <t>2021 Febrero</t>
  </si>
  <si>
    <t>2021 marzo</t>
  </si>
  <si>
    <t>2021 Abril</t>
  </si>
  <si>
    <t>2021 Mayo</t>
  </si>
  <si>
    <t>2021 Junio</t>
  </si>
  <si>
    <t>2021 Julio</t>
  </si>
  <si>
    <t>2021 Agosto</t>
  </si>
  <si>
    <t>2021 Septiembre</t>
  </si>
  <si>
    <t>2021 Octubre</t>
  </si>
  <si>
    <t>2021 Noviembre</t>
  </si>
  <si>
    <t>2021 Diciembre</t>
  </si>
  <si>
    <t>2022 Enero</t>
  </si>
  <si>
    <t>2022 Febrero</t>
  </si>
  <si>
    <t>2022 marzo</t>
  </si>
  <si>
    <t>2022 Abril</t>
  </si>
  <si>
    <t>2022 Mayo</t>
  </si>
  <si>
    <t>2022 Junio</t>
  </si>
  <si>
    <t>2022 Julio</t>
  </si>
  <si>
    <t>2022 Agosto</t>
  </si>
  <si>
    <t>2022 Septiembre</t>
  </si>
  <si>
    <t>2022 Octubre</t>
  </si>
  <si>
    <t>2022 Noviembre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</si>
  <si>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</si>
  <si>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</si>
  <si>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</si>
  <si>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</si>
  <si>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</si>
  <si>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</si>
  <si>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</si>
  <si>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</si>
  <si>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</si>
  <si>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</si>
  <si>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</si>
  <si>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</si>
  <si>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</si>
  <si>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2024 Enero</t>
  </si>
  <si>
    <t>2024 Febrero</t>
  </si>
  <si>
    <t>2024 marzo</t>
  </si>
  <si>
    <t>2024 Abril</t>
  </si>
  <si>
    <t>2024 Mayo</t>
  </si>
  <si>
    <t>2024 Junio</t>
  </si>
  <si>
    <t>Año/mes</t>
  </si>
  <si>
    <t>Número de Mortalidad por VIH en los municipios de Boyacá</t>
  </si>
  <si>
    <t>Mortalidad</t>
  </si>
  <si>
    <t>Grupo Quinquenal de edad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</si>
  <si>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</si>
  <si>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</si>
  <si>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</si>
  <si>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</si>
  <si>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</si>
  <si>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</si>
  <si>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</si>
  <si>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</si>
  <si>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</si>
  <si>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</si>
  <si>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</si>
  <si>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 79 años</t>
  </si>
  <si>
    <t>Hombre</t>
  </si>
  <si>
    <t>Mujer</t>
  </si>
  <si>
    <t>Sexo</t>
  </si>
  <si>
    <t>Personas</t>
  </si>
  <si>
    <t>Número de casos de Mortalidad por VIH</t>
  </si>
  <si>
    <t>Grupo Quinquenal edad</t>
  </si>
  <si>
    <t>Horizontal</t>
  </si>
  <si>
    <t>15 a 19 años</t>
  </si>
  <si>
    <t>15001</t>
  </si>
  <si>
    <t>Masculino</t>
  </si>
  <si>
    <t>Femenino</t>
  </si>
  <si>
    <t>15572</t>
  </si>
  <si>
    <t>15646</t>
  </si>
  <si>
    <t>15491</t>
  </si>
  <si>
    <t>15238</t>
  </si>
  <si>
    <t>15507</t>
  </si>
  <si>
    <t>15764</t>
  </si>
  <si>
    <t>15759</t>
  </si>
  <si>
    <t>15176</t>
  </si>
  <si>
    <t>15480</t>
  </si>
  <si>
    <t>15455</t>
  </si>
  <si>
    <t>15104</t>
  </si>
  <si>
    <t>15367</t>
  </si>
  <si>
    <t>15516</t>
  </si>
  <si>
    <t>15135</t>
  </si>
  <si>
    <t>15087</t>
  </si>
  <si>
    <t>15720</t>
  </si>
  <si>
    <t>15109</t>
  </si>
  <si>
    <t>15806</t>
  </si>
  <si>
    <t>15442</t>
  </si>
  <si>
    <t>15638</t>
  </si>
  <si>
    <t>15681</t>
  </si>
  <si>
    <t>15476</t>
  </si>
  <si>
    <t>15403</t>
  </si>
  <si>
    <t>15204</t>
  </si>
  <si>
    <t>15185</t>
  </si>
  <si>
    <t>15693</t>
  </si>
  <si>
    <t>15690</t>
  </si>
  <si>
    <t>15897</t>
  </si>
  <si>
    <t>15106</t>
  </si>
  <si>
    <t>15317</t>
  </si>
  <si>
    <t>15753</t>
  </si>
  <si>
    <t>15664</t>
  </si>
  <si>
    <t>15686</t>
  </si>
  <si>
    <t>15248</t>
  </si>
  <si>
    <t>Número de casos de Mortalidad por VIH SIDA en cada municipio</t>
  </si>
  <si>
    <t>Número de casos de Mortalidad por VIH SIDA en el departamento de Boyacá por año, quinquenio de edad, genero  y municipio</t>
  </si>
  <si>
    <t>2024 Julio</t>
  </si>
  <si>
    <t>2024 Agosto</t>
  </si>
  <si>
    <t>2024 Septiembre</t>
  </si>
  <si>
    <t>2024 Octubre</t>
  </si>
  <si>
    <t>2024 Noviembre</t>
  </si>
  <si>
    <t>2024 Diciembre</t>
  </si>
  <si>
    <t>Número de casos de Mortalidad por VIH desde enero 2020 a junio 2025</t>
  </si>
  <si>
    <t>La gráfica muestra el número de casos de mortalidad por VIH clasificados por grupo quinquenal de edad desde el enero 2020 a junio 2025</t>
  </si>
  <si>
    <t>Número total de casos de Mortalidad por VIH distribuídos por edad desde enero 2020 a junio 2025</t>
  </si>
  <si>
    <t>Comportamiento de casos por año y mes de Mortalidad por VIH desde enero 2020 a junio 2025</t>
  </si>
  <si>
    <t>Se presenta el número de casos por año y mes de mortalidad por VIH desde enero 2020 a junio 2025</t>
  </si>
  <si>
    <t>Se presenta la sumatoria total de casos de mortalidad por VIH (Virus Insufienciena Humana) distribuidos por edad durante el período enero 2020 a junio 2025</t>
  </si>
  <si>
    <t>15778</t>
  </si>
  <si>
    <t>15377</t>
  </si>
  <si>
    <t>2025 Enero</t>
  </si>
  <si>
    <t>2025 Febrero</t>
  </si>
  <si>
    <t>2025 Marzo</t>
  </si>
  <si>
    <t xml:space="preserve">2025 Abril </t>
  </si>
  <si>
    <t>2025 Mayo</t>
  </si>
  <si>
    <t>2025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</si>
</sst>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8" fillId="0" borderId="0" xfId="0" applyFont="1"/>
    <xf numFmtId="0" fontId="2" fillId="0" borderId="2" xfId="0" applyFont="1" applyBorder="1"/>
    <xf numFmtId="0" fontId="7" fillId="0" borderId="2" xfId="0" applyFont="1" applyBorder="1"/>
    <xf numFmtId="0" fontId="6" fillId="0" borderId="2" xfId="0" applyFont="1" applyBorder="1" applyAlignment="1">
      <alignment horizontal="right"/>
    </xf>
    <xf numFmtId="0" fontId="0" fillId="0" borderId="2" xfId="0" applyBorder="1"/>
    <xf numFmtId="0" fontId="2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8" fillId="2" borderId="3" xfId="0" applyFont="1" applyFill="1" applyBorder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left"/>
    </xf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CASOS DE MORTALIDAD POR VIH CLASIFICADOS POR GRUPO QUINQUENAL DE EDAD</a:t>
            </a:r>
            <a:endParaRPr lang="es-CO" b="1" baseline="0"/>
          </a:p>
          <a:p>
            <a:pPr>
              <a:defRPr/>
            </a:pPr>
            <a:r>
              <a:rPr lang="es-CO" sz="1000" b="1" baseline="0"/>
              <a:t>enero 2020 a junio 2025</a:t>
            </a:r>
          </a:p>
        </c:rich>
      </c:tx>
      <c:layout>
        <c:manualLayout>
          <c:xMode val="edge"/>
          <c:yMode val="edge"/>
          <c:x val="0.13351539807135268"/>
          <c:y val="3.3755269277271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data1!$P$1</c:f>
              <c:strCache>
                <c:ptCount val="1"/>
                <c:pt idx="0">
                  <c:v>Total año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data1!$P$2:$P$12</c:f>
              <c:numCache>
                <c:formatCode>General</c:formatCode>
                <c:ptCount val="11"/>
                <c:pt idx="0">
                  <c:v>9</c:v>
                </c:pt>
                <c:pt idx="1">
                  <c:v>9</c:v>
                </c:pt>
                <c:pt idx="2">
                  <c:v>10</c:v>
                </c:pt>
                <c:pt idx="3">
                  <c:v>12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9</c:v>
                </c:pt>
                <c:pt idx="8">
                  <c:v>12</c:v>
                </c:pt>
                <c:pt idx="9">
                  <c:v>13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8140631272453077"/>
              <c:y val="0.79427152703168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Grupo Quinquenal de edad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5877296551595047E-2"/>
          <c:y val="0.88464184811647051"/>
          <c:w val="0.94412270344840499"/>
          <c:h val="0.115358151883529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MORTALIDAD POR VIH DISTRIBUIDOS POR SEXO</a:t>
            </a:r>
          </a:p>
          <a:p>
            <a:pPr>
              <a:defRPr/>
            </a:pPr>
            <a:r>
              <a:rPr lang="en-US" sz="1400" b="1" baseline="0"/>
              <a:t>enero 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data3!$B$2:$B$3</c:f>
              <c:numCache>
                <c:formatCode>General</c:formatCode>
                <c:ptCount val="2"/>
                <c:pt idx="0">
                  <c:v>79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COMPORTAMIENTO </a:t>
            </a:r>
            <a:r>
              <a:rPr lang="es-CO" b="1" baseline="0"/>
              <a:t>CASOS DE MORTALIDAD POR VIH DESDE ENERO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data4!$A$1:$BN$1</c:f>
              <c:strCache>
                <c:ptCount val="66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  <c:pt idx="48">
                  <c:v>2024 Enero</c:v>
                </c:pt>
                <c:pt idx="49">
                  <c:v>2024 Febrero</c:v>
                </c:pt>
                <c:pt idx="50">
                  <c:v>2024 marzo</c:v>
                </c:pt>
                <c:pt idx="51">
                  <c:v>2024 Abril</c:v>
                </c:pt>
                <c:pt idx="52">
                  <c:v>2024 Mayo</c:v>
                </c:pt>
                <c:pt idx="53">
                  <c:v>2024 Junio</c:v>
                </c:pt>
                <c:pt idx="54">
                  <c:v>2024 Julio</c:v>
                </c:pt>
                <c:pt idx="55">
                  <c:v>2024 Agosto</c:v>
                </c:pt>
                <c:pt idx="56">
                  <c:v>2024 Septiembre</c:v>
                </c:pt>
                <c:pt idx="57">
                  <c:v>2024 Octubre</c:v>
                </c:pt>
                <c:pt idx="58">
                  <c:v>2024 Noviembre</c:v>
                </c:pt>
                <c:pt idx="59">
                  <c:v>2024 Diciembre</c:v>
                </c:pt>
                <c:pt idx="60">
                  <c:v>2025 Enero</c:v>
                </c:pt>
                <c:pt idx="61">
                  <c:v>2025 Febrero</c:v>
                </c:pt>
                <c:pt idx="62">
                  <c:v>2025 Marzo</c:v>
                </c:pt>
                <c:pt idx="63">
                  <c:v>2025 Abril </c:v>
                </c:pt>
                <c:pt idx="64">
                  <c:v>2025 Mayo</c:v>
                </c:pt>
                <c:pt idx="65">
                  <c:v>2025 Junio</c:v>
                </c:pt>
              </c:strCache>
            </c:strRef>
          </c:cat>
          <c:val>
            <c:numRef>
              <c:f>data4!$A$2:$BN$2</c:f>
              <c:numCache>
                <c:formatCode>General</c:formatCode>
                <c:ptCount val="66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2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0</c:v>
                </c:pt>
                <c:pt idx="44">
                  <c:v>2</c:v>
                </c:pt>
                <c:pt idx="45">
                  <c:v>1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4</c:v>
                </c:pt>
                <c:pt idx="58">
                  <c:v>3</c:v>
                </c:pt>
                <c:pt idx="59">
                  <c:v>2</c:v>
                </c:pt>
                <c:pt idx="60">
                  <c:v>0</c:v>
                </c:pt>
                <c:pt idx="61">
                  <c:v>3</c:v>
                </c:pt>
                <c:pt idx="62">
                  <c:v>3</c:v>
                </c:pt>
                <c:pt idx="63">
                  <c:v>2</c:v>
                </c:pt>
                <c:pt idx="64">
                  <c:v>1</c:v>
                </c:pt>
                <c:pt idx="6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MORTALIDAD POR VIH DISTRIBUIDOS POR GRUPO QUINQUENAL DE EDAD</a:t>
            </a:r>
          </a:p>
          <a:p>
            <a:pPr>
              <a:defRPr/>
            </a:pPr>
            <a:r>
              <a:rPr lang="en-US" sz="1400" b="1" baseline="0"/>
              <a:t>enero 2020 a junio 2025</a:t>
            </a:r>
            <a:endParaRPr lang="en-US" sz="1400" b="1"/>
          </a:p>
        </c:rich>
      </c:tx>
      <c:layout>
        <c:manualLayout>
          <c:xMode val="edge"/>
          <c:yMode val="edge"/>
          <c:x val="0.14403773420132049"/>
          <c:y val="2.5226625809685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data5!$B$1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1D2-42C2-9A15-3C2978666584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D2-42C2-9A15-3C29786665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data5!$A$3:$A$14</c:f>
              <c:strCache>
                <c:ptCount val="12"/>
                <c:pt idx="0">
                  <c:v>20 a 24 años</c:v>
                </c:pt>
                <c:pt idx="1">
                  <c:v>25 a 29 años</c:v>
                </c:pt>
                <c:pt idx="2">
                  <c:v>30 a 34 años</c:v>
                </c:pt>
                <c:pt idx="3">
                  <c:v>35 a 39 años</c:v>
                </c:pt>
                <c:pt idx="4">
                  <c:v>40 a 44 años</c:v>
                </c:pt>
                <c:pt idx="5">
                  <c:v>45 a 49 años</c:v>
                </c:pt>
                <c:pt idx="6">
                  <c:v>50 a 54 años</c:v>
                </c:pt>
                <c:pt idx="7">
                  <c:v>55 a 59 años</c:v>
                </c:pt>
                <c:pt idx="8">
                  <c:v>60 a 64 años</c:v>
                </c:pt>
                <c:pt idx="9">
                  <c:v>65 a 69 años</c:v>
                </c:pt>
                <c:pt idx="10">
                  <c:v>70 a 74 años</c:v>
                </c:pt>
                <c:pt idx="11">
                  <c:v>75 a 79 años</c:v>
                </c:pt>
              </c:strCache>
            </c:strRef>
          </c:cat>
          <c:val>
            <c:numRef>
              <c:f>data5!$B$3:$B$14</c:f>
              <c:numCache>
                <c:formatCode>General</c:formatCode>
                <c:ptCount val="12"/>
                <c:pt idx="0">
                  <c:v>4</c:v>
                </c:pt>
                <c:pt idx="1">
                  <c:v>15</c:v>
                </c:pt>
                <c:pt idx="2">
                  <c:v>18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11</c:v>
                </c:pt>
                <c:pt idx="7">
                  <c:v>7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D2-42C2-9A15-3C2978666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1" i="0" baseline="0">
                    <a:effectLst/>
                  </a:rPr>
                  <a:t>Grupo Quinquenal de edad</a:t>
                </a:r>
                <a:endParaRPr lang="es-CO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4761</xdr:rowOff>
    </xdr:from>
    <xdr:to>
      <xdr:col>16</xdr:col>
      <xdr:colOff>95249</xdr:colOff>
      <xdr:row>39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10</xdr:row>
      <xdr:rowOff>39288</xdr:rowOff>
    </xdr:from>
    <xdr:to>
      <xdr:col>7</xdr:col>
      <xdr:colOff>583406</xdr:colOff>
      <xdr:row>26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44222</xdr:colOff>
      <xdr:row>10</xdr:row>
      <xdr:rowOff>3855</xdr:rowOff>
    </xdr:from>
    <xdr:to>
      <xdr:col>17</xdr:col>
      <xdr:colOff>476248</xdr:colOff>
      <xdr:row>33</xdr:row>
      <xdr:rowOff>68036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22</xdr:row>
      <xdr:rowOff>39288</xdr:rowOff>
    </xdr:from>
    <xdr:to>
      <xdr:col>11</xdr:col>
      <xdr:colOff>59531</xdr:colOff>
      <xdr:row>38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1C4113-8346-4044-8BF1-AB33FE337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4" sqref="B4"/>
    </sheetView>
  </sheetViews>
  <sheetFormatPr baseColWidth="10" defaultColWidth="14.42578125" defaultRowHeight="15" customHeight="1"/>
  <sheetData>
    <row r="1" spans="1:2">
      <c r="A1" s="1" t="s">
        <v>13</v>
      </c>
      <c r="B1" s="1" t="s">
        <v>22</v>
      </c>
    </row>
    <row r="2" spans="1:2">
      <c r="A2" s="1" t="s">
        <v>14</v>
      </c>
      <c r="B2" s="1" t="s">
        <v>82</v>
      </c>
    </row>
    <row r="3" spans="1:2">
      <c r="A3" s="1" t="s">
        <v>0</v>
      </c>
      <c r="B3" s="1" t="s">
        <v>150</v>
      </c>
    </row>
    <row r="4" spans="1:2">
      <c r="A4" s="1" t="s">
        <v>15</v>
      </c>
      <c r="B4" s="1" t="s">
        <v>83</v>
      </c>
    </row>
    <row r="5" spans="1:2">
      <c r="A5" s="1" t="s">
        <v>1</v>
      </c>
      <c r="B5" s="5" t="s">
        <v>23</v>
      </c>
    </row>
    <row r="6" spans="1:2">
      <c r="A6" t="s">
        <v>2</v>
      </c>
      <c r="B6" s="5" t="s">
        <v>19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4"/>
  <sheetViews>
    <sheetView workbookViewId="0">
      <selection activeCell="K12" sqref="K12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3" width="8.5703125" customWidth="1"/>
    <col min="4" max="16" width="9.140625" customWidth="1"/>
    <col min="17" max="29" width="10.7109375" customWidth="1"/>
  </cols>
  <sheetData>
    <row r="1" spans="1:19">
      <c r="A1" s="7" t="s">
        <v>3</v>
      </c>
      <c r="B1" s="7" t="s">
        <v>24</v>
      </c>
      <c r="C1" s="8" t="s">
        <v>104</v>
      </c>
      <c r="D1" s="8" t="s">
        <v>85</v>
      </c>
      <c r="E1" s="8" t="s">
        <v>86</v>
      </c>
      <c r="F1" s="8" t="s">
        <v>87</v>
      </c>
      <c r="G1" s="8" t="s">
        <v>88</v>
      </c>
      <c r="H1" s="8" t="s">
        <v>89</v>
      </c>
      <c r="I1" s="8" t="s">
        <v>90</v>
      </c>
      <c r="J1" s="8" t="s">
        <v>91</v>
      </c>
      <c r="K1" s="8" t="s">
        <v>92</v>
      </c>
      <c r="L1" s="8" t="s">
        <v>93</v>
      </c>
      <c r="M1" s="8" t="s">
        <v>94</v>
      </c>
      <c r="N1" s="8" t="s">
        <v>95</v>
      </c>
      <c r="O1" s="8" t="s">
        <v>96</v>
      </c>
      <c r="P1" s="7" t="s">
        <v>4</v>
      </c>
      <c r="S1" s="2"/>
    </row>
    <row r="2" spans="1:19">
      <c r="A2" s="9">
        <v>2020</v>
      </c>
      <c r="B2" s="12" t="s">
        <v>25</v>
      </c>
      <c r="C2" s="14"/>
      <c r="D2" s="15"/>
      <c r="E2">
        <v>4</v>
      </c>
      <c r="F2">
        <v>2</v>
      </c>
      <c r="G2">
        <v>1</v>
      </c>
      <c r="H2" s="15"/>
      <c r="I2">
        <v>1</v>
      </c>
      <c r="J2">
        <v>1</v>
      </c>
      <c r="L2" s="15"/>
      <c r="M2" s="15"/>
      <c r="O2" s="15"/>
      <c r="P2" s="10">
        <f>SUM(C2:O2)</f>
        <v>9</v>
      </c>
    </row>
    <row r="3" spans="1:19">
      <c r="A3" s="9">
        <v>2020</v>
      </c>
      <c r="B3" s="12" t="s">
        <v>26</v>
      </c>
      <c r="C3" s="14"/>
      <c r="D3" s="15"/>
      <c r="E3">
        <v>3</v>
      </c>
      <c r="F3">
        <v>2</v>
      </c>
      <c r="G3">
        <v>1</v>
      </c>
      <c r="H3" s="15"/>
      <c r="J3">
        <v>1</v>
      </c>
      <c r="K3">
        <v>1</v>
      </c>
      <c r="L3" s="15"/>
      <c r="M3" s="15"/>
      <c r="N3">
        <v>1</v>
      </c>
      <c r="O3" s="15"/>
      <c r="P3" s="10">
        <f t="shared" ref="P3:P13" si="0">SUM(C3:O3)</f>
        <v>9</v>
      </c>
    </row>
    <row r="4" spans="1:19">
      <c r="A4" s="9">
        <v>2021</v>
      </c>
      <c r="B4" s="12" t="s">
        <v>25</v>
      </c>
      <c r="C4" s="14"/>
      <c r="D4" s="15"/>
      <c r="E4">
        <v>2</v>
      </c>
      <c r="F4">
        <v>3</v>
      </c>
      <c r="G4">
        <v>1</v>
      </c>
      <c r="H4">
        <v>2</v>
      </c>
      <c r="K4">
        <v>1</v>
      </c>
      <c r="L4" s="15"/>
      <c r="M4">
        <v>1</v>
      </c>
      <c r="O4" s="15"/>
      <c r="P4" s="10">
        <f t="shared" si="0"/>
        <v>10</v>
      </c>
      <c r="S4" t="s">
        <v>84</v>
      </c>
    </row>
    <row r="5" spans="1:19">
      <c r="A5" s="9">
        <v>2021</v>
      </c>
      <c r="B5" s="12" t="s">
        <v>26</v>
      </c>
      <c r="C5" s="14"/>
      <c r="D5" s="15"/>
      <c r="F5">
        <v>2</v>
      </c>
      <c r="G5">
        <v>2</v>
      </c>
      <c r="H5">
        <v>1</v>
      </c>
      <c r="I5">
        <v>3</v>
      </c>
      <c r="J5">
        <v>1</v>
      </c>
      <c r="K5">
        <v>1</v>
      </c>
      <c r="L5" s="15"/>
      <c r="M5">
        <v>1</v>
      </c>
      <c r="N5">
        <v>1</v>
      </c>
      <c r="O5" s="15"/>
      <c r="P5" s="10">
        <f t="shared" si="0"/>
        <v>12</v>
      </c>
    </row>
    <row r="6" spans="1:19">
      <c r="A6" s="9">
        <v>2022</v>
      </c>
      <c r="B6" s="12" t="s">
        <v>25</v>
      </c>
      <c r="C6" s="14"/>
      <c r="D6">
        <v>1</v>
      </c>
      <c r="E6" s="15"/>
      <c r="H6">
        <v>1</v>
      </c>
      <c r="J6" s="15"/>
      <c r="K6">
        <v>1</v>
      </c>
      <c r="L6">
        <v>1</v>
      </c>
      <c r="M6">
        <v>1</v>
      </c>
      <c r="O6" s="15"/>
      <c r="P6" s="10">
        <f t="shared" si="0"/>
        <v>5</v>
      </c>
    </row>
    <row r="7" spans="1:19">
      <c r="A7" s="9">
        <v>2022</v>
      </c>
      <c r="B7" s="12" t="s">
        <v>26</v>
      </c>
      <c r="C7" s="14"/>
      <c r="D7">
        <v>2</v>
      </c>
      <c r="E7" s="15"/>
      <c r="F7">
        <v>1</v>
      </c>
      <c r="G7">
        <v>2</v>
      </c>
      <c r="I7">
        <v>1</v>
      </c>
      <c r="J7" s="15"/>
      <c r="N7">
        <v>1</v>
      </c>
      <c r="O7" s="15"/>
      <c r="P7" s="10">
        <f t="shared" si="0"/>
        <v>7</v>
      </c>
    </row>
    <row r="8" spans="1:19">
      <c r="A8" s="9">
        <v>2023</v>
      </c>
      <c r="B8" s="12" t="s">
        <v>25</v>
      </c>
      <c r="C8" s="14"/>
      <c r="E8">
        <v>1</v>
      </c>
      <c r="F8">
        <v>2</v>
      </c>
      <c r="H8">
        <v>1</v>
      </c>
      <c r="I8">
        <v>1</v>
      </c>
      <c r="J8">
        <v>2</v>
      </c>
      <c r="K8" s="15"/>
      <c r="L8">
        <v>1</v>
      </c>
      <c r="M8" s="15"/>
      <c r="N8">
        <v>1</v>
      </c>
      <c r="O8" s="15"/>
      <c r="P8" s="10">
        <f t="shared" si="0"/>
        <v>9</v>
      </c>
    </row>
    <row r="9" spans="1:19">
      <c r="A9" s="9">
        <v>2023</v>
      </c>
      <c r="B9" s="12" t="s">
        <v>26</v>
      </c>
      <c r="C9" s="14"/>
      <c r="D9">
        <v>1</v>
      </c>
      <c r="E9">
        <v>1</v>
      </c>
      <c r="F9">
        <v>1</v>
      </c>
      <c r="G9">
        <v>2</v>
      </c>
      <c r="H9">
        <v>2</v>
      </c>
      <c r="I9">
        <v>1</v>
      </c>
      <c r="J9">
        <v>1</v>
      </c>
      <c r="K9" s="15"/>
      <c r="M9" s="15"/>
      <c r="O9" s="15"/>
      <c r="P9" s="10">
        <f t="shared" si="0"/>
        <v>9</v>
      </c>
    </row>
    <row r="10" spans="1:19">
      <c r="A10" s="9">
        <v>2024</v>
      </c>
      <c r="B10" s="12" t="s">
        <v>25</v>
      </c>
      <c r="C10" s="14"/>
      <c r="D10" s="15"/>
      <c r="E10">
        <v>2</v>
      </c>
      <c r="F10">
        <v>3</v>
      </c>
      <c r="G10">
        <v>2</v>
      </c>
      <c r="H10">
        <v>1</v>
      </c>
      <c r="I10">
        <v>1</v>
      </c>
      <c r="J10">
        <v>2</v>
      </c>
      <c r="M10" s="15"/>
      <c r="N10" s="15"/>
      <c r="O10" s="15">
        <v>1</v>
      </c>
      <c r="P10" s="10">
        <f>SUM(C10:O10)</f>
        <v>12</v>
      </c>
    </row>
    <row r="11" spans="1:19">
      <c r="A11" s="9">
        <v>2024</v>
      </c>
      <c r="B11" s="12" t="s">
        <v>26</v>
      </c>
      <c r="C11" s="14">
        <v>1</v>
      </c>
      <c r="D11" s="15"/>
      <c r="E11">
        <v>1</v>
      </c>
      <c r="F11">
        <v>1</v>
      </c>
      <c r="H11">
        <v>1</v>
      </c>
      <c r="I11">
        <v>4</v>
      </c>
      <c r="J11">
        <v>3</v>
      </c>
      <c r="K11">
        <v>1</v>
      </c>
      <c r="L11">
        <v>1</v>
      </c>
      <c r="M11" s="15"/>
      <c r="N11" s="15"/>
      <c r="O11" s="15"/>
      <c r="P11" s="10">
        <f t="shared" si="0"/>
        <v>13</v>
      </c>
    </row>
    <row r="12" spans="1:19">
      <c r="A12" s="9">
        <v>2025</v>
      </c>
      <c r="B12" s="16" t="s">
        <v>25</v>
      </c>
      <c r="C12" s="14"/>
      <c r="D12" s="15"/>
      <c r="E12">
        <v>1</v>
      </c>
      <c r="F12">
        <v>1</v>
      </c>
      <c r="G12">
        <v>1</v>
      </c>
      <c r="H12">
        <v>3</v>
      </c>
      <c r="I12">
        <v>1</v>
      </c>
      <c r="K12">
        <v>2</v>
      </c>
      <c r="M12" s="15"/>
      <c r="N12" s="15"/>
      <c r="O12" s="15"/>
      <c r="P12" s="10">
        <f>E12+F12+G12+H12+I12+K12</f>
        <v>9</v>
      </c>
    </row>
    <row r="13" spans="1:19">
      <c r="A13" s="11" t="s">
        <v>18</v>
      </c>
      <c r="B13" s="11"/>
      <c r="C13" s="10">
        <f t="shared" ref="C13:O13" si="1">SUM(C2:C11)</f>
        <v>1</v>
      </c>
      <c r="D13" s="10">
        <f t="shared" si="1"/>
        <v>4</v>
      </c>
      <c r="E13" s="10">
        <f>SUM(E2:E12)</f>
        <v>15</v>
      </c>
      <c r="F13" s="10">
        <f>SUM(F2:F12)</f>
        <v>18</v>
      </c>
      <c r="G13" s="10">
        <f>SUM(G2:G12)</f>
        <v>12</v>
      </c>
      <c r="H13" s="10">
        <f>SUM(H2:H12)</f>
        <v>12</v>
      </c>
      <c r="I13" s="10">
        <f>SUM(I2:I12)</f>
        <v>13</v>
      </c>
      <c r="J13" s="10">
        <f t="shared" si="1"/>
        <v>11</v>
      </c>
      <c r="K13" s="10">
        <f>SUM(K2:K12)</f>
        <v>7</v>
      </c>
      <c r="L13" s="10">
        <f t="shared" si="1"/>
        <v>3</v>
      </c>
      <c r="M13" s="10">
        <f t="shared" si="1"/>
        <v>3</v>
      </c>
      <c r="N13" s="10">
        <f t="shared" si="1"/>
        <v>4</v>
      </c>
      <c r="O13" s="10">
        <f t="shared" si="1"/>
        <v>1</v>
      </c>
      <c r="P13" s="10">
        <f t="shared" si="0"/>
        <v>104</v>
      </c>
    </row>
    <row r="15" spans="1:19">
      <c r="A15" s="1" t="s">
        <v>0</v>
      </c>
      <c r="B15" s="5" t="s">
        <v>101</v>
      </c>
      <c r="C15" s="5"/>
      <c r="D15" s="1"/>
      <c r="E15" s="1"/>
      <c r="F15" s="1"/>
      <c r="G15" s="1"/>
      <c r="H15" s="1"/>
      <c r="I15" s="1"/>
      <c r="J15" s="1"/>
      <c r="K15" s="1"/>
      <c r="L15" s="1"/>
    </row>
    <row r="16" spans="1:19">
      <c r="A16" s="5" t="s">
        <v>14</v>
      </c>
      <c r="B16" s="1" t="s">
        <v>151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>
      <c r="A17" s="1" t="s">
        <v>5</v>
      </c>
      <c r="B17" s="5" t="s">
        <v>84</v>
      </c>
      <c r="C17" s="5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 t="s">
        <v>7</v>
      </c>
      <c r="B18" s="1" t="s">
        <v>21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5" customHeight="1">
      <c r="A20" s="1" t="s">
        <v>10</v>
      </c>
      <c r="B20" s="1" t="s">
        <v>16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"/>
  <sheetViews>
    <sheetView workbookViewId="0">
      <selection activeCell="H4" sqref="H4"/>
    </sheetView>
  </sheetViews>
  <sheetFormatPr baseColWidth="10" defaultColWidth="14.42578125" defaultRowHeight="15" customHeight="1"/>
  <cols>
    <col min="1" max="1" width="11.85546875" bestFit="1" customWidth="1"/>
    <col min="2" max="2" width="10.7109375" customWidth="1"/>
    <col min="3" max="3" width="17.42578125" customWidth="1"/>
    <col min="4" max="6" width="10.7109375" customWidth="1"/>
    <col min="7" max="7" width="17.5703125" bestFit="1" customWidth="1"/>
    <col min="8" max="8" width="14" bestFit="1" customWidth="1"/>
    <col min="9" max="25" width="10.7109375" customWidth="1"/>
  </cols>
  <sheetData>
    <row r="1" spans="1:5">
      <c r="A1" s="3" t="s">
        <v>17</v>
      </c>
      <c r="B1" s="3" t="s">
        <v>3</v>
      </c>
      <c r="C1" s="3" t="s">
        <v>8</v>
      </c>
      <c r="D1" s="3" t="s">
        <v>99</v>
      </c>
      <c r="E1" s="3" t="s">
        <v>9</v>
      </c>
    </row>
    <row r="2" spans="1:5">
      <c r="A2" t="s">
        <v>105</v>
      </c>
      <c r="B2">
        <v>2020</v>
      </c>
      <c r="C2" t="s">
        <v>86</v>
      </c>
      <c r="D2" t="s">
        <v>106</v>
      </c>
      <c r="E2">
        <v>2</v>
      </c>
    </row>
    <row r="3" spans="1:5">
      <c r="A3" t="s">
        <v>105</v>
      </c>
      <c r="B3">
        <v>2020</v>
      </c>
      <c r="C3" t="s">
        <v>87</v>
      </c>
      <c r="D3" t="s">
        <v>106</v>
      </c>
      <c r="E3">
        <v>1</v>
      </c>
    </row>
    <row r="4" spans="1:5">
      <c r="A4" t="s">
        <v>105</v>
      </c>
      <c r="B4">
        <v>2020</v>
      </c>
      <c r="C4" t="s">
        <v>91</v>
      </c>
      <c r="D4" t="s">
        <v>106</v>
      </c>
      <c r="E4">
        <v>1</v>
      </c>
    </row>
    <row r="5" spans="1:5">
      <c r="A5" t="s">
        <v>105</v>
      </c>
      <c r="B5">
        <v>2021</v>
      </c>
      <c r="C5" t="s">
        <v>87</v>
      </c>
      <c r="D5" t="s">
        <v>106</v>
      </c>
      <c r="E5">
        <v>1</v>
      </c>
    </row>
    <row r="6" spans="1:5">
      <c r="A6" t="s">
        <v>105</v>
      </c>
      <c r="B6">
        <v>2021</v>
      </c>
      <c r="C6" t="s">
        <v>88</v>
      </c>
      <c r="D6" t="s">
        <v>106</v>
      </c>
      <c r="E6">
        <v>1</v>
      </c>
    </row>
    <row r="7" spans="1:5">
      <c r="A7" t="s">
        <v>105</v>
      </c>
      <c r="B7">
        <v>2021</v>
      </c>
      <c r="C7" t="s">
        <v>94</v>
      </c>
      <c r="D7" t="s">
        <v>107</v>
      </c>
      <c r="E7">
        <v>1</v>
      </c>
    </row>
    <row r="8" spans="1:5">
      <c r="A8" t="s">
        <v>105</v>
      </c>
      <c r="B8">
        <v>2021</v>
      </c>
      <c r="C8" t="s">
        <v>95</v>
      </c>
      <c r="D8" t="s">
        <v>106</v>
      </c>
      <c r="E8">
        <v>1</v>
      </c>
    </row>
    <row r="9" spans="1:5">
      <c r="A9" t="s">
        <v>105</v>
      </c>
      <c r="B9">
        <v>2023</v>
      </c>
      <c r="C9" t="s">
        <v>89</v>
      </c>
      <c r="D9" t="s">
        <v>107</v>
      </c>
      <c r="E9">
        <v>1</v>
      </c>
    </row>
    <row r="10" spans="1:5">
      <c r="A10" t="s">
        <v>105</v>
      </c>
      <c r="B10">
        <v>2024</v>
      </c>
      <c r="C10" t="s">
        <v>90</v>
      </c>
      <c r="D10" t="s">
        <v>106</v>
      </c>
      <c r="E10">
        <v>1</v>
      </c>
    </row>
    <row r="11" spans="1:5">
      <c r="A11" t="s">
        <v>105</v>
      </c>
      <c r="B11">
        <v>2024</v>
      </c>
      <c r="C11" t="s">
        <v>90</v>
      </c>
      <c r="D11" t="s">
        <v>107</v>
      </c>
      <c r="E11">
        <v>1</v>
      </c>
    </row>
    <row r="12" spans="1:5">
      <c r="A12" t="s">
        <v>105</v>
      </c>
      <c r="B12">
        <v>2024</v>
      </c>
      <c r="C12" t="s">
        <v>91</v>
      </c>
      <c r="D12" t="s">
        <v>106</v>
      </c>
      <c r="E12">
        <v>1</v>
      </c>
    </row>
    <row r="13" spans="1:5">
      <c r="A13" t="s">
        <v>105</v>
      </c>
      <c r="B13">
        <v>2024</v>
      </c>
      <c r="C13" t="s">
        <v>93</v>
      </c>
      <c r="D13" t="s">
        <v>107</v>
      </c>
      <c r="E13">
        <v>1</v>
      </c>
    </row>
    <row r="14" spans="1:5">
      <c r="A14" t="s">
        <v>108</v>
      </c>
      <c r="B14">
        <v>2020</v>
      </c>
      <c r="C14" t="s">
        <v>86</v>
      </c>
      <c r="D14" t="s">
        <v>106</v>
      </c>
      <c r="E14">
        <v>1</v>
      </c>
    </row>
    <row r="15" spans="1:5">
      <c r="A15" t="s">
        <v>108</v>
      </c>
      <c r="B15">
        <v>2020</v>
      </c>
      <c r="C15" t="s">
        <v>87</v>
      </c>
      <c r="D15" t="s">
        <v>106</v>
      </c>
      <c r="E15">
        <v>1</v>
      </c>
    </row>
    <row r="16" spans="1:5">
      <c r="A16" t="s">
        <v>108</v>
      </c>
      <c r="B16">
        <v>2020</v>
      </c>
      <c r="C16" t="s">
        <v>88</v>
      </c>
      <c r="D16" t="s">
        <v>106</v>
      </c>
      <c r="E16">
        <v>1</v>
      </c>
    </row>
    <row r="17" spans="1:5">
      <c r="A17" t="s">
        <v>108</v>
      </c>
      <c r="B17">
        <v>2020</v>
      </c>
      <c r="C17" t="s">
        <v>90</v>
      </c>
      <c r="D17" t="s">
        <v>106</v>
      </c>
      <c r="E17">
        <v>1</v>
      </c>
    </row>
    <row r="18" spans="1:5">
      <c r="A18" t="s">
        <v>108</v>
      </c>
      <c r="B18">
        <v>2020</v>
      </c>
      <c r="C18" t="s">
        <v>92</v>
      </c>
      <c r="D18" t="s">
        <v>107</v>
      </c>
      <c r="E18">
        <v>1</v>
      </c>
    </row>
    <row r="19" spans="1:5">
      <c r="A19" t="s">
        <v>108</v>
      </c>
      <c r="B19">
        <v>2021</v>
      </c>
      <c r="C19" t="s">
        <v>87</v>
      </c>
      <c r="D19" t="s">
        <v>106</v>
      </c>
      <c r="E19">
        <v>1</v>
      </c>
    </row>
    <row r="20" spans="1:5">
      <c r="A20" t="s">
        <v>108</v>
      </c>
      <c r="B20">
        <v>2021</v>
      </c>
      <c r="C20" t="s">
        <v>89</v>
      </c>
      <c r="D20" t="s">
        <v>107</v>
      </c>
      <c r="E20">
        <v>1</v>
      </c>
    </row>
    <row r="21" spans="1:5">
      <c r="A21" t="s">
        <v>108</v>
      </c>
      <c r="B21">
        <v>2022</v>
      </c>
      <c r="C21" t="s">
        <v>85</v>
      </c>
      <c r="D21" t="s">
        <v>107</v>
      </c>
      <c r="E21">
        <v>1</v>
      </c>
    </row>
    <row r="22" spans="1:5">
      <c r="A22" t="s">
        <v>108</v>
      </c>
      <c r="B22">
        <v>2022</v>
      </c>
      <c r="C22" t="s">
        <v>88</v>
      </c>
      <c r="D22" t="s">
        <v>106</v>
      </c>
      <c r="E22">
        <v>1</v>
      </c>
    </row>
    <row r="23" spans="1:5">
      <c r="A23" t="s">
        <v>108</v>
      </c>
      <c r="B23">
        <v>2022</v>
      </c>
      <c r="C23" t="s">
        <v>94</v>
      </c>
      <c r="D23" t="s">
        <v>106</v>
      </c>
      <c r="E23">
        <v>1</v>
      </c>
    </row>
    <row r="24" spans="1:5">
      <c r="A24" t="s">
        <v>108</v>
      </c>
      <c r="B24">
        <v>2023</v>
      </c>
      <c r="C24" t="s">
        <v>89</v>
      </c>
      <c r="D24" t="s">
        <v>106</v>
      </c>
      <c r="E24">
        <v>1</v>
      </c>
    </row>
    <row r="25" spans="1:5">
      <c r="A25" t="s">
        <v>108</v>
      </c>
      <c r="B25">
        <v>2023</v>
      </c>
      <c r="C25" t="s">
        <v>91</v>
      </c>
      <c r="D25" t="s">
        <v>107</v>
      </c>
      <c r="E25">
        <v>1</v>
      </c>
    </row>
    <row r="26" spans="1:5">
      <c r="A26" t="s">
        <v>108</v>
      </c>
      <c r="B26">
        <v>2024</v>
      </c>
      <c r="C26" t="s">
        <v>86</v>
      </c>
      <c r="D26" t="s">
        <v>106</v>
      </c>
      <c r="E26">
        <v>1</v>
      </c>
    </row>
    <row r="27" spans="1:5">
      <c r="A27" t="s">
        <v>108</v>
      </c>
      <c r="B27">
        <v>2024</v>
      </c>
      <c r="C27" t="s">
        <v>87</v>
      </c>
      <c r="D27" t="s">
        <v>107</v>
      </c>
      <c r="E27">
        <v>1</v>
      </c>
    </row>
    <row r="28" spans="1:5">
      <c r="A28" t="s">
        <v>108</v>
      </c>
      <c r="B28">
        <v>2024</v>
      </c>
      <c r="C28" t="s">
        <v>90</v>
      </c>
      <c r="D28" t="s">
        <v>106</v>
      </c>
      <c r="E28">
        <v>1</v>
      </c>
    </row>
    <row r="29" spans="1:5">
      <c r="A29" t="s">
        <v>108</v>
      </c>
      <c r="B29">
        <v>2024</v>
      </c>
      <c r="C29" t="s">
        <v>90</v>
      </c>
      <c r="D29" t="s">
        <v>107</v>
      </c>
      <c r="E29">
        <v>1</v>
      </c>
    </row>
    <row r="30" spans="1:5">
      <c r="A30" t="s">
        <v>108</v>
      </c>
      <c r="B30">
        <v>2024</v>
      </c>
      <c r="C30" t="s">
        <v>91</v>
      </c>
      <c r="D30" t="s">
        <v>106</v>
      </c>
      <c r="E30">
        <v>1</v>
      </c>
    </row>
    <row r="31" spans="1:5">
      <c r="A31" t="s">
        <v>108</v>
      </c>
      <c r="B31">
        <v>2024</v>
      </c>
      <c r="C31" t="s">
        <v>91</v>
      </c>
      <c r="D31" t="s">
        <v>107</v>
      </c>
      <c r="E31">
        <v>1</v>
      </c>
    </row>
    <row r="32" spans="1:5">
      <c r="A32" t="s">
        <v>109</v>
      </c>
      <c r="B32">
        <v>2024</v>
      </c>
      <c r="C32" t="s">
        <v>87</v>
      </c>
      <c r="D32" t="s">
        <v>106</v>
      </c>
      <c r="E32">
        <v>1</v>
      </c>
    </row>
    <row r="33" spans="1:5">
      <c r="A33" t="s">
        <v>110</v>
      </c>
      <c r="B33">
        <v>2021</v>
      </c>
      <c r="C33" t="s">
        <v>92</v>
      </c>
      <c r="D33" t="s">
        <v>106</v>
      </c>
      <c r="E33">
        <v>1</v>
      </c>
    </row>
    <row r="34" spans="1:5">
      <c r="A34" t="s">
        <v>110</v>
      </c>
      <c r="B34">
        <v>2023</v>
      </c>
      <c r="C34" t="s">
        <v>95</v>
      </c>
      <c r="D34" t="s">
        <v>106</v>
      </c>
      <c r="E34">
        <v>1</v>
      </c>
    </row>
    <row r="35" spans="1:5">
      <c r="A35" t="s">
        <v>110</v>
      </c>
      <c r="B35">
        <v>2024</v>
      </c>
      <c r="C35" t="s">
        <v>88</v>
      </c>
      <c r="D35" t="s">
        <v>106</v>
      </c>
      <c r="E35">
        <v>1</v>
      </c>
    </row>
    <row r="36" spans="1:5">
      <c r="A36" t="s">
        <v>110</v>
      </c>
      <c r="B36">
        <v>2024</v>
      </c>
      <c r="C36" t="s">
        <v>96</v>
      </c>
      <c r="D36" t="s">
        <v>107</v>
      </c>
      <c r="E36">
        <v>1</v>
      </c>
    </row>
    <row r="37" spans="1:5">
      <c r="A37" t="s">
        <v>111</v>
      </c>
      <c r="B37">
        <v>2020</v>
      </c>
      <c r="C37" t="s">
        <v>86</v>
      </c>
      <c r="D37" t="s">
        <v>106</v>
      </c>
      <c r="E37">
        <v>1</v>
      </c>
    </row>
    <row r="38" spans="1:5">
      <c r="A38" t="s">
        <v>111</v>
      </c>
      <c r="B38">
        <v>2020</v>
      </c>
      <c r="C38" t="s">
        <v>86</v>
      </c>
      <c r="D38" t="s">
        <v>107</v>
      </c>
      <c r="E38">
        <v>1</v>
      </c>
    </row>
    <row r="39" spans="1:5">
      <c r="A39" t="s">
        <v>111</v>
      </c>
      <c r="B39">
        <v>2020</v>
      </c>
      <c r="C39" t="s">
        <v>88</v>
      </c>
      <c r="D39" t="s">
        <v>106</v>
      </c>
      <c r="E39">
        <v>1</v>
      </c>
    </row>
    <row r="40" spans="1:5">
      <c r="A40" t="s">
        <v>111</v>
      </c>
      <c r="B40">
        <v>2020</v>
      </c>
      <c r="C40" t="s">
        <v>95</v>
      </c>
      <c r="D40" t="s">
        <v>106</v>
      </c>
      <c r="E40">
        <v>1</v>
      </c>
    </row>
    <row r="41" spans="1:5">
      <c r="A41" t="s">
        <v>111</v>
      </c>
      <c r="B41">
        <v>2021</v>
      </c>
      <c r="C41" t="s">
        <v>89</v>
      </c>
      <c r="D41" t="s">
        <v>106</v>
      </c>
      <c r="E41">
        <v>1</v>
      </c>
    </row>
    <row r="42" spans="1:5">
      <c r="A42" t="s">
        <v>111</v>
      </c>
      <c r="B42">
        <v>2021</v>
      </c>
      <c r="C42" t="s">
        <v>90</v>
      </c>
      <c r="D42" t="s">
        <v>106</v>
      </c>
      <c r="E42">
        <v>1</v>
      </c>
    </row>
    <row r="43" spans="1:5">
      <c r="A43" t="s">
        <v>111</v>
      </c>
      <c r="B43">
        <v>2022</v>
      </c>
      <c r="C43" t="s">
        <v>88</v>
      </c>
      <c r="D43" t="s">
        <v>106</v>
      </c>
      <c r="E43">
        <v>1</v>
      </c>
    </row>
    <row r="44" spans="1:5">
      <c r="A44" t="s">
        <v>111</v>
      </c>
      <c r="B44">
        <v>2022</v>
      </c>
      <c r="C44" t="s">
        <v>92</v>
      </c>
      <c r="D44" t="s">
        <v>106</v>
      </c>
      <c r="E44">
        <v>1</v>
      </c>
    </row>
    <row r="45" spans="1:5">
      <c r="A45" t="s">
        <v>111</v>
      </c>
      <c r="B45">
        <v>2022</v>
      </c>
      <c r="C45" t="s">
        <v>93</v>
      </c>
      <c r="D45" t="s">
        <v>106</v>
      </c>
      <c r="E45">
        <v>1</v>
      </c>
    </row>
    <row r="46" spans="1:5">
      <c r="A46" t="s">
        <v>111</v>
      </c>
      <c r="B46">
        <v>2023</v>
      </c>
      <c r="C46" t="s">
        <v>89</v>
      </c>
      <c r="D46" t="s">
        <v>107</v>
      </c>
      <c r="E46">
        <v>1</v>
      </c>
    </row>
    <row r="47" spans="1:5">
      <c r="A47" t="s">
        <v>111</v>
      </c>
      <c r="B47">
        <v>2024</v>
      </c>
      <c r="C47" t="s">
        <v>87</v>
      </c>
      <c r="D47" t="s">
        <v>106</v>
      </c>
      <c r="E47">
        <v>1</v>
      </c>
    </row>
    <row r="48" spans="1:5">
      <c r="A48" t="s">
        <v>111</v>
      </c>
      <c r="B48">
        <v>2024</v>
      </c>
      <c r="C48" t="s">
        <v>89</v>
      </c>
      <c r="D48" t="s">
        <v>106</v>
      </c>
      <c r="E48">
        <v>2</v>
      </c>
    </row>
    <row r="49" spans="1:5">
      <c r="A49" t="s">
        <v>112</v>
      </c>
      <c r="B49">
        <v>2022</v>
      </c>
      <c r="C49" t="s">
        <v>90</v>
      </c>
      <c r="D49" t="s">
        <v>106</v>
      </c>
      <c r="E49">
        <v>1</v>
      </c>
    </row>
    <row r="50" spans="1:5">
      <c r="A50" t="s">
        <v>112</v>
      </c>
      <c r="B50">
        <v>2024</v>
      </c>
      <c r="C50" t="s">
        <v>88</v>
      </c>
      <c r="D50" t="s">
        <v>107</v>
      </c>
      <c r="E50">
        <v>1</v>
      </c>
    </row>
    <row r="51" spans="1:5">
      <c r="A51" t="s">
        <v>113</v>
      </c>
      <c r="B51">
        <v>2024</v>
      </c>
      <c r="C51" t="s">
        <v>91</v>
      </c>
      <c r="D51" t="s">
        <v>106</v>
      </c>
      <c r="E51">
        <v>2</v>
      </c>
    </row>
    <row r="52" spans="1:5">
      <c r="A52" t="s">
        <v>114</v>
      </c>
      <c r="B52">
        <v>2020</v>
      </c>
      <c r="C52" t="s">
        <v>87</v>
      </c>
      <c r="D52" t="s">
        <v>106</v>
      </c>
      <c r="E52">
        <v>1</v>
      </c>
    </row>
    <row r="53" spans="1:5">
      <c r="A53" t="s">
        <v>114</v>
      </c>
      <c r="B53">
        <v>2021</v>
      </c>
      <c r="C53" t="s">
        <v>86</v>
      </c>
      <c r="D53" t="s">
        <v>106</v>
      </c>
      <c r="E53">
        <v>1</v>
      </c>
    </row>
    <row r="54" spans="1:5">
      <c r="A54" t="s">
        <v>114</v>
      </c>
      <c r="B54">
        <v>2021</v>
      </c>
      <c r="C54" t="s">
        <v>87</v>
      </c>
      <c r="D54" t="s">
        <v>106</v>
      </c>
      <c r="E54">
        <v>2</v>
      </c>
    </row>
    <row r="55" spans="1:5">
      <c r="A55" t="s">
        <v>114</v>
      </c>
      <c r="B55">
        <v>2023</v>
      </c>
      <c r="C55" t="s">
        <v>88</v>
      </c>
      <c r="D55" t="s">
        <v>106</v>
      </c>
      <c r="E55">
        <v>1</v>
      </c>
    </row>
    <row r="56" spans="1:5">
      <c r="A56" t="s">
        <v>114</v>
      </c>
      <c r="B56">
        <v>2023</v>
      </c>
      <c r="C56" t="s">
        <v>90</v>
      </c>
      <c r="D56" t="s">
        <v>106</v>
      </c>
      <c r="E56">
        <v>1</v>
      </c>
    </row>
    <row r="57" spans="1:5">
      <c r="A57" t="s">
        <v>114</v>
      </c>
      <c r="B57">
        <v>2023</v>
      </c>
      <c r="C57" t="s">
        <v>91</v>
      </c>
      <c r="D57" t="s">
        <v>106</v>
      </c>
      <c r="E57">
        <v>2</v>
      </c>
    </row>
    <row r="58" spans="1:5">
      <c r="A58" t="s">
        <v>114</v>
      </c>
      <c r="B58">
        <v>2024</v>
      </c>
      <c r="C58" t="s">
        <v>86</v>
      </c>
      <c r="D58" t="s">
        <v>106</v>
      </c>
      <c r="E58">
        <v>1</v>
      </c>
    </row>
    <row r="59" spans="1:5">
      <c r="A59" t="s">
        <v>115</v>
      </c>
      <c r="B59">
        <v>2023</v>
      </c>
      <c r="C59" t="s">
        <v>85</v>
      </c>
      <c r="D59" t="s">
        <v>106</v>
      </c>
      <c r="E59">
        <v>1</v>
      </c>
    </row>
    <row r="60" spans="1:5">
      <c r="A60" t="s">
        <v>115</v>
      </c>
      <c r="B60">
        <v>2024</v>
      </c>
      <c r="C60" t="s">
        <v>86</v>
      </c>
      <c r="D60" t="s">
        <v>106</v>
      </c>
      <c r="E60">
        <v>1</v>
      </c>
    </row>
    <row r="61" spans="1:5">
      <c r="A61" t="s">
        <v>115</v>
      </c>
      <c r="B61">
        <v>2024</v>
      </c>
      <c r="C61" t="s">
        <v>87</v>
      </c>
      <c r="D61" t="s">
        <v>106</v>
      </c>
      <c r="E61">
        <v>1</v>
      </c>
    </row>
    <row r="62" spans="1:5">
      <c r="A62" t="s">
        <v>116</v>
      </c>
      <c r="B62">
        <v>2024</v>
      </c>
      <c r="C62" t="s">
        <v>92</v>
      </c>
      <c r="D62" t="s">
        <v>106</v>
      </c>
      <c r="E62">
        <v>1</v>
      </c>
    </row>
    <row r="63" spans="1:5">
      <c r="A63" t="s">
        <v>117</v>
      </c>
      <c r="B63">
        <v>2022</v>
      </c>
      <c r="C63" t="s">
        <v>87</v>
      </c>
      <c r="D63" t="s">
        <v>106</v>
      </c>
      <c r="E63">
        <v>1</v>
      </c>
    </row>
    <row r="64" spans="1:5">
      <c r="A64" t="s">
        <v>117</v>
      </c>
      <c r="B64">
        <v>2024</v>
      </c>
      <c r="C64" t="s">
        <v>104</v>
      </c>
      <c r="D64" t="s">
        <v>107</v>
      </c>
      <c r="E64">
        <v>1</v>
      </c>
    </row>
    <row r="65" spans="1:5">
      <c r="A65" t="s">
        <v>118</v>
      </c>
      <c r="B65">
        <v>2024</v>
      </c>
      <c r="C65" t="s">
        <v>90</v>
      </c>
      <c r="D65" t="s">
        <v>106</v>
      </c>
      <c r="E65">
        <v>1</v>
      </c>
    </row>
    <row r="66" spans="1:5">
      <c r="A66" t="s">
        <v>119</v>
      </c>
      <c r="B66">
        <v>2020</v>
      </c>
      <c r="C66" t="s">
        <v>91</v>
      </c>
      <c r="D66" t="s">
        <v>106</v>
      </c>
      <c r="E66">
        <v>1</v>
      </c>
    </row>
    <row r="67" spans="1:5">
      <c r="A67" t="s">
        <v>120</v>
      </c>
      <c r="B67">
        <v>2020</v>
      </c>
      <c r="C67" t="s">
        <v>87</v>
      </c>
      <c r="D67" t="s">
        <v>106</v>
      </c>
      <c r="E67">
        <v>1</v>
      </c>
    </row>
    <row r="68" spans="1:5">
      <c r="A68" t="s">
        <v>120</v>
      </c>
      <c r="B68">
        <v>2021</v>
      </c>
      <c r="C68" t="s">
        <v>91</v>
      </c>
      <c r="D68" t="s">
        <v>106</v>
      </c>
      <c r="E68">
        <v>1</v>
      </c>
    </row>
    <row r="69" spans="1:5">
      <c r="A69" t="s">
        <v>120</v>
      </c>
      <c r="B69">
        <v>2022</v>
      </c>
      <c r="C69" t="s">
        <v>89</v>
      </c>
      <c r="D69" t="s">
        <v>106</v>
      </c>
      <c r="E69">
        <v>1</v>
      </c>
    </row>
    <row r="70" spans="1:5">
      <c r="A70" t="s">
        <v>121</v>
      </c>
      <c r="B70">
        <v>2020</v>
      </c>
      <c r="C70" t="s">
        <v>86</v>
      </c>
      <c r="D70" t="s">
        <v>107</v>
      </c>
      <c r="E70">
        <v>1</v>
      </c>
    </row>
    <row r="71" spans="1:5">
      <c r="A71" t="s">
        <v>122</v>
      </c>
      <c r="B71">
        <v>2020</v>
      </c>
      <c r="C71" t="s">
        <v>86</v>
      </c>
      <c r="D71" t="s">
        <v>106</v>
      </c>
      <c r="E71">
        <v>1</v>
      </c>
    </row>
    <row r="72" spans="1:5">
      <c r="A72" t="s">
        <v>123</v>
      </c>
      <c r="B72">
        <v>2021</v>
      </c>
      <c r="C72" t="s">
        <v>89</v>
      </c>
      <c r="D72" t="s">
        <v>106</v>
      </c>
      <c r="E72">
        <v>1</v>
      </c>
    </row>
    <row r="73" spans="1:5">
      <c r="A73" t="s">
        <v>124</v>
      </c>
      <c r="B73">
        <v>2021</v>
      </c>
      <c r="C73" t="s">
        <v>86</v>
      </c>
      <c r="D73" t="s">
        <v>106</v>
      </c>
      <c r="E73">
        <v>1</v>
      </c>
    </row>
    <row r="74" spans="1:5">
      <c r="A74" t="s">
        <v>125</v>
      </c>
      <c r="B74">
        <v>2021</v>
      </c>
      <c r="C74" t="s">
        <v>92</v>
      </c>
      <c r="D74" t="s">
        <v>106</v>
      </c>
      <c r="E74">
        <v>1</v>
      </c>
    </row>
    <row r="75" spans="1:5">
      <c r="A75" t="s">
        <v>126</v>
      </c>
      <c r="B75">
        <v>2021</v>
      </c>
      <c r="C75" t="s">
        <v>94</v>
      </c>
      <c r="D75" t="s">
        <v>106</v>
      </c>
      <c r="E75">
        <v>1</v>
      </c>
    </row>
    <row r="76" spans="1:5">
      <c r="A76" t="s">
        <v>127</v>
      </c>
      <c r="B76">
        <v>2021</v>
      </c>
      <c r="C76" t="s">
        <v>90</v>
      </c>
      <c r="D76" t="s">
        <v>107</v>
      </c>
      <c r="E76">
        <v>1</v>
      </c>
    </row>
    <row r="77" spans="1:5">
      <c r="A77" t="s">
        <v>128</v>
      </c>
      <c r="B77">
        <v>2021</v>
      </c>
      <c r="C77" t="s">
        <v>90</v>
      </c>
      <c r="D77" t="s">
        <v>107</v>
      </c>
      <c r="E77">
        <v>1</v>
      </c>
    </row>
    <row r="78" spans="1:5">
      <c r="A78" t="s">
        <v>128</v>
      </c>
      <c r="B78">
        <v>2022</v>
      </c>
      <c r="C78" t="s">
        <v>85</v>
      </c>
      <c r="D78" t="s">
        <v>107</v>
      </c>
      <c r="E78">
        <v>1</v>
      </c>
    </row>
    <row r="79" spans="1:5">
      <c r="A79" t="s">
        <v>129</v>
      </c>
      <c r="B79">
        <v>2021</v>
      </c>
      <c r="C79" t="s">
        <v>88</v>
      </c>
      <c r="D79" t="s">
        <v>106</v>
      </c>
      <c r="E79">
        <v>1</v>
      </c>
    </row>
    <row r="80" spans="1:5">
      <c r="A80" t="s">
        <v>130</v>
      </c>
      <c r="B80">
        <v>2021</v>
      </c>
      <c r="C80" t="s">
        <v>87</v>
      </c>
      <c r="D80" t="s">
        <v>107</v>
      </c>
      <c r="E80">
        <v>1</v>
      </c>
    </row>
    <row r="81" spans="1:5" ht="15" customHeight="1">
      <c r="A81" t="s">
        <v>131</v>
      </c>
      <c r="B81">
        <v>2021</v>
      </c>
      <c r="C81" t="s">
        <v>88</v>
      </c>
      <c r="D81" t="s">
        <v>106</v>
      </c>
      <c r="E81">
        <v>1</v>
      </c>
    </row>
    <row r="82" spans="1:5" ht="15" customHeight="1">
      <c r="A82" t="s">
        <v>132</v>
      </c>
      <c r="B82">
        <v>2022</v>
      </c>
      <c r="C82" t="s">
        <v>85</v>
      </c>
      <c r="D82" t="s">
        <v>106</v>
      </c>
      <c r="E82">
        <v>1</v>
      </c>
    </row>
    <row r="83" spans="1:5" ht="15" customHeight="1">
      <c r="A83" t="s">
        <v>133</v>
      </c>
      <c r="B83">
        <v>2022</v>
      </c>
      <c r="C83" t="s">
        <v>95</v>
      </c>
      <c r="D83" t="s">
        <v>106</v>
      </c>
      <c r="E83">
        <v>1</v>
      </c>
    </row>
    <row r="84" spans="1:5" ht="15" customHeight="1">
      <c r="A84" t="s">
        <v>134</v>
      </c>
      <c r="B84">
        <v>2023</v>
      </c>
      <c r="C84" t="s">
        <v>87</v>
      </c>
      <c r="D84" t="s">
        <v>107</v>
      </c>
      <c r="E84">
        <v>1</v>
      </c>
    </row>
    <row r="85" spans="1:5" ht="15" customHeight="1">
      <c r="A85" t="s">
        <v>135</v>
      </c>
      <c r="B85">
        <v>2023</v>
      </c>
      <c r="C85" t="s">
        <v>87</v>
      </c>
      <c r="D85" t="s">
        <v>106</v>
      </c>
      <c r="E85">
        <v>1</v>
      </c>
    </row>
    <row r="86" spans="1:5" ht="15" customHeight="1">
      <c r="A86" t="s">
        <v>136</v>
      </c>
      <c r="B86">
        <v>2023</v>
      </c>
      <c r="C86" t="s">
        <v>86</v>
      </c>
      <c r="D86" t="s">
        <v>106</v>
      </c>
      <c r="E86">
        <v>1</v>
      </c>
    </row>
    <row r="87" spans="1:5" ht="15" customHeight="1">
      <c r="A87" t="s">
        <v>137</v>
      </c>
      <c r="B87">
        <v>2023</v>
      </c>
      <c r="C87" t="s">
        <v>90</v>
      </c>
      <c r="D87" t="s">
        <v>106</v>
      </c>
      <c r="E87">
        <v>1</v>
      </c>
    </row>
    <row r="88" spans="1:5" ht="15" customHeight="1">
      <c r="A88" t="s">
        <v>138</v>
      </c>
      <c r="B88">
        <v>2023</v>
      </c>
      <c r="C88" t="s">
        <v>93</v>
      </c>
      <c r="D88" t="s">
        <v>107</v>
      </c>
      <c r="E88">
        <v>1</v>
      </c>
    </row>
    <row r="89" spans="1:5" ht="15" customHeight="1">
      <c r="A89" t="s">
        <v>139</v>
      </c>
      <c r="B89">
        <v>2023</v>
      </c>
      <c r="C89" t="s">
        <v>88</v>
      </c>
      <c r="D89" t="s">
        <v>107</v>
      </c>
      <c r="E89">
        <v>1</v>
      </c>
    </row>
    <row r="90" spans="1:5" ht="15" customHeight="1">
      <c r="A90" t="s">
        <v>140</v>
      </c>
      <c r="B90">
        <v>2023</v>
      </c>
      <c r="C90" t="s">
        <v>87</v>
      </c>
      <c r="D90" t="s">
        <v>106</v>
      </c>
      <c r="E90">
        <v>1</v>
      </c>
    </row>
    <row r="91" spans="1:5" ht="15" customHeight="1">
      <c r="A91" t="s">
        <v>141</v>
      </c>
      <c r="B91">
        <v>2023</v>
      </c>
      <c r="C91" t="s">
        <v>86</v>
      </c>
      <c r="D91" t="s">
        <v>106</v>
      </c>
      <c r="E91">
        <v>1</v>
      </c>
    </row>
    <row r="92" spans="1:5" ht="15" customHeight="1">
      <c r="A92" t="s">
        <v>134</v>
      </c>
      <c r="B92">
        <v>2025</v>
      </c>
      <c r="C92" t="s">
        <v>89</v>
      </c>
      <c r="D92" t="s">
        <v>106</v>
      </c>
      <c r="E92">
        <v>1</v>
      </c>
    </row>
    <row r="93" spans="1:5" ht="15" customHeight="1">
      <c r="A93" t="s">
        <v>138</v>
      </c>
      <c r="B93">
        <v>2025</v>
      </c>
      <c r="C93" t="s">
        <v>87</v>
      </c>
      <c r="D93" t="s">
        <v>106</v>
      </c>
      <c r="E93">
        <v>1</v>
      </c>
    </row>
    <row r="94" spans="1:5" ht="15" customHeight="1">
      <c r="A94" t="s">
        <v>109</v>
      </c>
      <c r="B94">
        <v>2025</v>
      </c>
      <c r="C94" t="s">
        <v>90</v>
      </c>
      <c r="D94" t="s">
        <v>106</v>
      </c>
      <c r="E94">
        <v>1</v>
      </c>
    </row>
    <row r="95" spans="1:5" ht="15" customHeight="1">
      <c r="A95" t="s">
        <v>114</v>
      </c>
      <c r="B95">
        <v>2025</v>
      </c>
      <c r="C95" t="s">
        <v>92</v>
      </c>
      <c r="D95" t="s">
        <v>107</v>
      </c>
      <c r="E95">
        <v>1</v>
      </c>
    </row>
    <row r="96" spans="1:5" ht="15" customHeight="1">
      <c r="A96" t="s">
        <v>131</v>
      </c>
      <c r="B96">
        <v>2025</v>
      </c>
      <c r="C96" t="s">
        <v>89</v>
      </c>
      <c r="D96" t="s">
        <v>106</v>
      </c>
      <c r="E96">
        <v>1</v>
      </c>
    </row>
    <row r="97" spans="1:5" ht="15" customHeight="1">
      <c r="A97" t="s">
        <v>105</v>
      </c>
      <c r="B97">
        <v>2025</v>
      </c>
      <c r="C97" t="s">
        <v>89</v>
      </c>
      <c r="D97" t="s">
        <v>106</v>
      </c>
      <c r="E97">
        <v>1</v>
      </c>
    </row>
    <row r="98" spans="1:5" ht="15" customHeight="1">
      <c r="A98" t="s">
        <v>156</v>
      </c>
      <c r="B98">
        <v>2025</v>
      </c>
      <c r="C98" t="s">
        <v>88</v>
      </c>
      <c r="D98" t="s">
        <v>106</v>
      </c>
      <c r="E98">
        <v>1</v>
      </c>
    </row>
    <row r="99" spans="1:5" ht="15" customHeight="1">
      <c r="A99" t="s">
        <v>157</v>
      </c>
      <c r="B99">
        <v>2025</v>
      </c>
      <c r="C99" t="s">
        <v>86</v>
      </c>
      <c r="D99" t="s">
        <v>106</v>
      </c>
      <c r="E99">
        <v>1</v>
      </c>
    </row>
    <row r="100" spans="1:5" ht="15" customHeight="1">
      <c r="A100" t="s">
        <v>114</v>
      </c>
      <c r="B100">
        <v>2025</v>
      </c>
      <c r="C100" t="s">
        <v>92</v>
      </c>
      <c r="D100" t="s">
        <v>106</v>
      </c>
      <c r="E100">
        <v>1</v>
      </c>
    </row>
    <row r="102" spans="1:5" ht="15" customHeight="1">
      <c r="A102" t="s">
        <v>10</v>
      </c>
      <c r="B102" s="5" t="s">
        <v>11</v>
      </c>
    </row>
    <row r="103" spans="1:5" ht="15" customHeight="1">
      <c r="A103" t="s">
        <v>12</v>
      </c>
      <c r="B103" s="5" t="s">
        <v>142</v>
      </c>
    </row>
    <row r="104" spans="1:5" ht="15" customHeight="1">
      <c r="A104" t="s">
        <v>14</v>
      </c>
      <c r="B104" s="5" t="s">
        <v>143</v>
      </c>
    </row>
    <row r="105" spans="1:5" ht="15" customHeight="1">
      <c r="A105" t="s">
        <v>5</v>
      </c>
      <c r="B105" s="5" t="s">
        <v>6</v>
      </c>
    </row>
  </sheetData>
  <autoFilter ref="A1:D81" xr:uid="{00000000-0001-0000-0200-000000000000}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9"/>
  <sheetViews>
    <sheetView zoomScale="80" zoomScaleNormal="80" workbookViewId="0">
      <selection activeCell="C2" sqref="C2"/>
    </sheetView>
  </sheetViews>
  <sheetFormatPr baseColWidth="10" defaultRowHeight="15"/>
  <sheetData>
    <row r="1" spans="1:2">
      <c r="A1" t="s">
        <v>99</v>
      </c>
      <c r="B1" s="4" t="s">
        <v>9</v>
      </c>
    </row>
    <row r="2" spans="1:2">
      <c r="A2" t="s">
        <v>97</v>
      </c>
      <c r="B2" s="4">
        <v>79</v>
      </c>
    </row>
    <row r="3" spans="1:2">
      <c r="A3" t="s">
        <v>98</v>
      </c>
      <c r="B3" s="4">
        <v>25</v>
      </c>
    </row>
    <row r="5" spans="1:2">
      <c r="A5" s="1" t="s">
        <v>12</v>
      </c>
      <c r="B5" s="1" t="s">
        <v>152</v>
      </c>
    </row>
    <row r="6" spans="1:2">
      <c r="A6" s="1" t="s">
        <v>14</v>
      </c>
      <c r="B6" s="1" t="s">
        <v>155</v>
      </c>
    </row>
    <row r="7" spans="1:2">
      <c r="A7" s="1" t="s">
        <v>5</v>
      </c>
      <c r="B7" s="1" t="s">
        <v>6</v>
      </c>
    </row>
    <row r="9" spans="1:2">
      <c r="A9" t="s">
        <v>10</v>
      </c>
      <c r="B9" t="s">
        <v>100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N9"/>
  <sheetViews>
    <sheetView zoomScale="70" zoomScaleNormal="70" workbookViewId="0">
      <selection activeCell="O6" sqref="O6"/>
    </sheetView>
  </sheetViews>
  <sheetFormatPr baseColWidth="10" defaultRowHeight="15"/>
  <sheetData>
    <row r="1" spans="1:66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  <c r="K1" s="6" t="s">
        <v>37</v>
      </c>
      <c r="L1" s="6" t="s">
        <v>38</v>
      </c>
      <c r="M1" s="6" t="s">
        <v>39</v>
      </c>
      <c r="N1" s="6" t="s">
        <v>40</v>
      </c>
      <c r="O1" s="6" t="s">
        <v>41</v>
      </c>
      <c r="P1" s="6" t="s">
        <v>42</v>
      </c>
      <c r="Q1" s="6" t="s">
        <v>43</v>
      </c>
      <c r="R1" s="6" t="s">
        <v>44</v>
      </c>
      <c r="S1" s="6" t="s">
        <v>45</v>
      </c>
      <c r="T1" s="6" t="s">
        <v>46</v>
      </c>
      <c r="U1" s="6" t="s">
        <v>47</v>
      </c>
      <c r="V1" s="6" t="s">
        <v>48</v>
      </c>
      <c r="W1" s="6" t="s">
        <v>49</v>
      </c>
      <c r="X1" s="6" t="s">
        <v>50</v>
      </c>
      <c r="Y1" s="6" t="s">
        <v>51</v>
      </c>
      <c r="Z1" s="6" t="s">
        <v>52</v>
      </c>
      <c r="AA1" s="6" t="s">
        <v>53</v>
      </c>
      <c r="AB1" s="6" t="s">
        <v>54</v>
      </c>
      <c r="AC1" s="6" t="s">
        <v>55</v>
      </c>
      <c r="AD1" s="6" t="s">
        <v>56</v>
      </c>
      <c r="AE1" s="6" t="s">
        <v>57</v>
      </c>
      <c r="AF1" s="6" t="s">
        <v>58</v>
      </c>
      <c r="AG1" s="6" t="s">
        <v>59</v>
      </c>
      <c r="AH1" s="6" t="s">
        <v>60</v>
      </c>
      <c r="AI1" s="6" t="s">
        <v>61</v>
      </c>
      <c r="AJ1" s="6" t="s">
        <v>62</v>
      </c>
      <c r="AK1" s="6" t="s">
        <v>63</v>
      </c>
      <c r="AL1" s="6" t="s">
        <v>64</v>
      </c>
      <c r="AM1" s="6" t="s">
        <v>65</v>
      </c>
      <c r="AN1" s="6" t="s">
        <v>66</v>
      </c>
      <c r="AO1" s="6" t="s">
        <v>67</v>
      </c>
      <c r="AP1" s="6" t="s">
        <v>68</v>
      </c>
      <c r="AQ1" s="6" t="s">
        <v>69</v>
      </c>
      <c r="AR1" s="6" t="s">
        <v>70</v>
      </c>
      <c r="AS1" s="6" t="s">
        <v>71</v>
      </c>
      <c r="AT1" s="6" t="s">
        <v>72</v>
      </c>
      <c r="AU1" s="6" t="s">
        <v>73</v>
      </c>
      <c r="AV1" s="6" t="s">
        <v>74</v>
      </c>
      <c r="AW1" s="6" t="s">
        <v>75</v>
      </c>
      <c r="AX1" s="6" t="s">
        <v>76</v>
      </c>
      <c r="AY1" s="6" t="s">
        <v>77</v>
      </c>
      <c r="AZ1" s="6" t="s">
        <v>78</v>
      </c>
      <c r="BA1" s="6" t="s">
        <v>79</v>
      </c>
      <c r="BB1" s="6" t="s">
        <v>80</v>
      </c>
      <c r="BC1" s="6" t="s">
        <v>144</v>
      </c>
      <c r="BD1" s="6" t="s">
        <v>145</v>
      </c>
      <c r="BE1" s="6" t="s">
        <v>146</v>
      </c>
      <c r="BF1" s="6" t="s">
        <v>147</v>
      </c>
      <c r="BG1" s="6" t="s">
        <v>148</v>
      </c>
      <c r="BH1" s="6" t="s">
        <v>149</v>
      </c>
      <c r="BI1" s="6" t="s">
        <v>158</v>
      </c>
      <c r="BJ1" s="6" t="s">
        <v>159</v>
      </c>
      <c r="BK1" s="6" t="s">
        <v>160</v>
      </c>
      <c r="BL1" s="6" t="s">
        <v>161</v>
      </c>
      <c r="BM1" s="6" t="s">
        <v>162</v>
      </c>
      <c r="BN1" s="6" t="s">
        <v>163</v>
      </c>
    </row>
    <row r="2" spans="1:66">
      <c r="A2" s="13">
        <v>3</v>
      </c>
      <c r="B2" s="13">
        <v>1</v>
      </c>
      <c r="C2" s="13">
        <v>1</v>
      </c>
      <c r="D2" s="13">
        <v>2</v>
      </c>
      <c r="E2" s="13">
        <v>1</v>
      </c>
      <c r="F2" s="13">
        <v>1</v>
      </c>
      <c r="G2" s="13">
        <v>0</v>
      </c>
      <c r="H2" s="13">
        <v>1</v>
      </c>
      <c r="I2" s="13">
        <v>1</v>
      </c>
      <c r="J2" s="13">
        <v>3</v>
      </c>
      <c r="K2" s="13">
        <v>2</v>
      </c>
      <c r="L2" s="13">
        <v>2</v>
      </c>
      <c r="M2" s="13">
        <v>1</v>
      </c>
      <c r="N2" s="13">
        <v>2</v>
      </c>
      <c r="O2" s="13">
        <v>2</v>
      </c>
      <c r="P2" s="13">
        <v>1</v>
      </c>
      <c r="Q2" s="13">
        <v>3</v>
      </c>
      <c r="R2" s="13">
        <v>1</v>
      </c>
      <c r="S2" s="13">
        <v>1</v>
      </c>
      <c r="T2" s="13">
        <v>3</v>
      </c>
      <c r="U2" s="13">
        <v>2</v>
      </c>
      <c r="V2" s="13">
        <v>2</v>
      </c>
      <c r="W2" s="13">
        <v>3</v>
      </c>
      <c r="X2" s="13">
        <v>1</v>
      </c>
      <c r="Y2" s="13">
        <v>0</v>
      </c>
      <c r="Z2" s="13">
        <v>0</v>
      </c>
      <c r="AA2" s="13">
        <v>2</v>
      </c>
      <c r="AB2" s="13">
        <v>1</v>
      </c>
      <c r="AC2" s="13">
        <v>1</v>
      </c>
      <c r="AD2" s="13">
        <v>1</v>
      </c>
      <c r="AE2" s="13">
        <v>0</v>
      </c>
      <c r="AF2" s="13">
        <v>2</v>
      </c>
      <c r="AG2" s="13">
        <v>2</v>
      </c>
      <c r="AH2" s="13">
        <v>1</v>
      </c>
      <c r="AI2" s="13">
        <v>0</v>
      </c>
      <c r="AJ2" s="13">
        <v>2</v>
      </c>
      <c r="AK2" s="13">
        <v>1</v>
      </c>
      <c r="AL2" s="13">
        <v>2</v>
      </c>
      <c r="AM2" s="13">
        <v>2</v>
      </c>
      <c r="AN2" s="13">
        <v>0</v>
      </c>
      <c r="AO2" s="13">
        <v>2</v>
      </c>
      <c r="AP2" s="13">
        <v>2</v>
      </c>
      <c r="AQ2" s="13">
        <v>2</v>
      </c>
      <c r="AR2" s="13">
        <v>0</v>
      </c>
      <c r="AS2" s="13">
        <v>2</v>
      </c>
      <c r="AT2" s="13">
        <v>1</v>
      </c>
      <c r="AU2" s="13">
        <v>2</v>
      </c>
      <c r="AV2" s="13">
        <v>2</v>
      </c>
      <c r="AW2" s="13">
        <v>3</v>
      </c>
      <c r="AX2" s="13">
        <v>3</v>
      </c>
      <c r="AY2" s="13">
        <v>1</v>
      </c>
      <c r="AZ2" s="13">
        <v>2</v>
      </c>
      <c r="BA2" s="13">
        <v>1</v>
      </c>
      <c r="BB2" s="13">
        <v>2</v>
      </c>
      <c r="BC2" s="13">
        <v>1</v>
      </c>
      <c r="BD2" s="13">
        <v>1</v>
      </c>
      <c r="BE2" s="13">
        <v>2</v>
      </c>
      <c r="BF2" s="13">
        <v>4</v>
      </c>
      <c r="BG2" s="13">
        <v>3</v>
      </c>
      <c r="BH2" s="13">
        <v>2</v>
      </c>
      <c r="BI2" s="17">
        <v>0</v>
      </c>
      <c r="BJ2" s="17">
        <v>3</v>
      </c>
      <c r="BK2" s="17">
        <v>3</v>
      </c>
      <c r="BL2" s="17">
        <v>2</v>
      </c>
      <c r="BM2" s="17">
        <v>1</v>
      </c>
      <c r="BN2" s="17">
        <v>0</v>
      </c>
    </row>
    <row r="4" spans="1:66">
      <c r="A4" s="1" t="s">
        <v>12</v>
      </c>
      <c r="B4" s="1" t="s">
        <v>153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66">
      <c r="A5" s="1" t="s">
        <v>14</v>
      </c>
      <c r="B5" s="1" t="s">
        <v>154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66">
      <c r="A6" s="1" t="s">
        <v>5</v>
      </c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66">
      <c r="A7" s="1" t="s">
        <v>7</v>
      </c>
      <c r="B7" s="1" t="s">
        <v>81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66">
      <c r="A9" t="s">
        <v>10</v>
      </c>
      <c r="B9" t="s">
        <v>20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F2C3-0108-4708-A391-849C204542E9}">
  <dimension ref="A1:B21"/>
  <sheetViews>
    <sheetView zoomScale="80" zoomScaleNormal="80" workbookViewId="0">
      <selection activeCell="B10" sqref="B10"/>
    </sheetView>
  </sheetViews>
  <sheetFormatPr baseColWidth="10" defaultRowHeight="15"/>
  <sheetData>
    <row r="1" spans="1:2">
      <c r="A1" t="s">
        <v>102</v>
      </c>
      <c r="B1" s="4" t="s">
        <v>9</v>
      </c>
    </row>
    <row r="2" spans="1:2">
      <c r="A2" t="s">
        <v>104</v>
      </c>
      <c r="B2">
        <v>1</v>
      </c>
    </row>
    <row r="3" spans="1:2">
      <c r="A3" t="s">
        <v>85</v>
      </c>
      <c r="B3">
        <v>4</v>
      </c>
    </row>
    <row r="4" spans="1:2">
      <c r="A4" t="s">
        <v>86</v>
      </c>
      <c r="B4">
        <v>15</v>
      </c>
    </row>
    <row r="5" spans="1:2">
      <c r="A5" t="s">
        <v>87</v>
      </c>
      <c r="B5">
        <v>18</v>
      </c>
    </row>
    <row r="6" spans="1:2">
      <c r="A6" t="s">
        <v>88</v>
      </c>
      <c r="B6">
        <v>12</v>
      </c>
    </row>
    <row r="7" spans="1:2">
      <c r="A7" t="s">
        <v>89</v>
      </c>
      <c r="B7">
        <v>12</v>
      </c>
    </row>
    <row r="8" spans="1:2">
      <c r="A8" t="s">
        <v>90</v>
      </c>
      <c r="B8">
        <v>13</v>
      </c>
    </row>
    <row r="9" spans="1:2">
      <c r="A9" t="s">
        <v>91</v>
      </c>
      <c r="B9">
        <v>11</v>
      </c>
    </row>
    <row r="10" spans="1:2">
      <c r="A10" t="s">
        <v>92</v>
      </c>
      <c r="B10">
        <v>7</v>
      </c>
    </row>
    <row r="11" spans="1:2">
      <c r="A11" t="s">
        <v>93</v>
      </c>
      <c r="B11">
        <v>3</v>
      </c>
    </row>
    <row r="12" spans="1:2">
      <c r="A12" t="s">
        <v>94</v>
      </c>
      <c r="B12">
        <v>3</v>
      </c>
    </row>
    <row r="13" spans="1:2">
      <c r="A13" t="s">
        <v>95</v>
      </c>
      <c r="B13">
        <v>4</v>
      </c>
    </row>
    <row r="14" spans="1:2">
      <c r="A14" t="s">
        <v>96</v>
      </c>
      <c r="B14">
        <v>1</v>
      </c>
    </row>
    <row r="16" spans="1:2">
      <c r="A16" s="1" t="s">
        <v>12</v>
      </c>
      <c r="B16" s="1" t="s">
        <v>152</v>
      </c>
    </row>
    <row r="17" spans="1:2">
      <c r="A17" s="1" t="s">
        <v>14</v>
      </c>
      <c r="B17" s="1" t="s">
        <v>155</v>
      </c>
    </row>
    <row r="18" spans="1:2">
      <c r="A18" s="1" t="s">
        <v>5</v>
      </c>
      <c r="B18" s="1" t="s">
        <v>6</v>
      </c>
    </row>
    <row r="19" spans="1:2">
      <c r="A19" s="1" t="s">
        <v>103</v>
      </c>
      <c r="B19" s="1" t="s">
        <v>84</v>
      </c>
    </row>
    <row r="20" spans="1:2">
      <c r="A20" s="1"/>
    </row>
    <row r="21" spans="1:2">
      <c r="A21" t="s">
        <v>10</v>
      </c>
      <c r="B21" t="s">
        <v>100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data0</vt:lpstr>
      <vt:lpstr>data1</vt:lpstr>
      <vt:lpstr>data2</vt:lpstr>
      <vt:lpstr>data3</vt:lpstr>
      <vt:lpstr>data4</vt:lpstr>
      <vt:lpstr>data5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Asus</cp:lastModifiedBy>
  <dcterms:created xsi:type="dcterms:W3CDTF">2022-08-04T13:33:08Z</dcterms:created>
  <dcterms:modified xsi:type="dcterms:W3CDTF">2025-09-19T14:31:19Z</dcterms:modified>
</cp:coreProperties>
</file>