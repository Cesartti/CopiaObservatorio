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51B00F42-7D19-435C-BC44-B840F79C431C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6" r:id="rId5"/>
    <sheet name="data5" sheetId="8" r:id="rId6"/>
  </sheets>
  <definedNames>
    <definedName name="_xlnm._FilterDatabase" localSheetId="2" hidden="1">data2!$A$1:$E$26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5" i="2"/>
  <c r="I4" i="2"/>
  <c r="I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<sst xmlns="http://schemas.openxmlformats.org/spreadsheetml/2006/main" count="261" uniqueCount="140">
  <si>
    <t>Descripcion:</t>
  </si>
  <si>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</si>
  <si>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</si>
  <si>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</si>
  <si>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</si>
  <si>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</si>
  <si>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</si>
  <si>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</si>
  <si>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</si>
  <si>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Rango de edad</t>
  </si>
  <si>
    <t>Sexo</t>
  </si>
  <si>
    <t>Casos</t>
  </si>
  <si>
    <t>Hombre</t>
  </si>
  <si>
    <t>Mujer</t>
  </si>
  <si>
    <t>Tipo:</t>
  </si>
  <si>
    <t>Mapa</t>
  </si>
  <si>
    <t>Título:</t>
  </si>
  <si>
    <t>Categoría:</t>
  </si>
  <si>
    <t>Descripción:</t>
  </si>
  <si>
    <t>Subcategoría:</t>
  </si>
  <si>
    <t>Hechos y derechos</t>
  </si>
  <si>
    <t>Gráfica de columnas</t>
  </si>
  <si>
    <t>Código</t>
  </si>
  <si>
    <t>Gráfico persona</t>
  </si>
  <si>
    <t>Género</t>
  </si>
  <si>
    <t>Gráfico linea</t>
  </si>
  <si>
    <t>Lesiones fatales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</si>
  <si>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</si>
  <si>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</si>
  <si>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</si>
  <si>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</si>
  <si>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</si>
  <si>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</si>
  <si>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Semestre / año</t>
  </si>
  <si>
    <t>Ciclo de vida</t>
  </si>
  <si>
    <t>Nivel académico de la victima</t>
  </si>
  <si>
    <t>Mes / Año</t>
  </si>
  <si>
    <t>Número de casos de desaparicion forzada</t>
  </si>
  <si>
    <t>Número de casos de desaparicion forzada por sexo de la victima</t>
  </si>
  <si>
    <t>ANTIOQUIA</t>
  </si>
  <si>
    <t>ARAUCA</t>
  </si>
  <si>
    <t>BOYACA</t>
  </si>
  <si>
    <t>CAUCA</t>
  </si>
  <si>
    <t>META</t>
  </si>
  <si>
    <t>Número de casos de desaparicion forzada por departamento de ocurrencia</t>
  </si>
  <si>
    <t>Número de casos de desaparicion forzada en cada municipio</t>
  </si>
  <si>
    <t>Periodo</t>
  </si>
  <si>
    <t>ene a jun</t>
  </si>
  <si>
    <t>jul a dic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</si>
  <si>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</si>
  <si>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</si>
  <si>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</si>
  <si>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</si>
  <si>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</si>
  <si>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</si>
  <si>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</si>
  <si>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</si>
  <si>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</si>
  <si>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</si>
  <si>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</si>
  <si>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</si>
  <si>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</si>
  <si>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</si>
  <si>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</si>
  <si>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</si>
  <si>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</si>
  <si>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</si>
  <si>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</si>
  <si>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</si>
  <si>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</si>
  <si>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</si>
  <si>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</si>
  <si>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</si>
  <si>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</si>
  <si>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</si>
  <si>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</si>
  <si>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</si>
  <si>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</si>
  <si>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</si>
  <si>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</si>
  <si>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</si>
  <si>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</si>
  <si>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</si>
  <si>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</si>
  <si>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</si>
  <si>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</si>
  <si>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</si>
  <si>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</si>
  <si>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</si>
  <si>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</si>
  <si>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</si>
  <si>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</si>
  <si>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</si>
  <si>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</si>
  <si>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</si>
  <si>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</si>
  <si>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</si>
  <si>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</si>
  <si>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</si>
  <si>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</si>
  <si>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</si>
  <si>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</si>
  <si>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</si>
  <si>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número de casos</t>
  </si>
  <si>
    <t>desaparición forzada</t>
  </si>
  <si>
    <t>Desaparición Forzada en población Boyacense</t>
  </si>
  <si>
    <t>Base de datos entregada por Unidad para las Víctimas Seccional Boyacá</t>
  </si>
  <si>
    <t>15109</t>
  </si>
  <si>
    <t>Vejez (Mayor 60 años)</t>
  </si>
  <si>
    <t>15176</t>
  </si>
  <si>
    <t>15223</t>
  </si>
  <si>
    <t>15572</t>
  </si>
  <si>
    <t>15664</t>
  </si>
  <si>
    <t>15759</t>
  </si>
  <si>
    <t>Comportamiento de casos por año y mes de Desaparicion forzada</t>
  </si>
  <si>
    <t>Julio 2024</t>
  </si>
  <si>
    <t>Agosto 2024</t>
  </si>
  <si>
    <t>Septiembre 2024</t>
  </si>
  <si>
    <t>Octubre 2024</t>
  </si>
  <si>
    <t>Noviembre 2024</t>
  </si>
  <si>
    <t>Diciembre 2024</t>
  </si>
  <si>
    <t>La gráfica muestra los casos de desaparicion forzada distribuidos por rango de edades desde el año 2020 hasta Junio 2025</t>
  </si>
  <si>
    <t>Número de casos de casos de desaparicion forzada por genero, ciclo de vida y municipio Desde 2020 a Junio 2025</t>
  </si>
  <si>
    <t>2025</t>
  </si>
  <si>
    <t>Se presenta la sumatoria total de desaparicion forzada por tipo de sexo distribuidos por genero durante el período 2020 a Junio 2025</t>
  </si>
  <si>
    <t>La gráfica muestra los casos de desaparicion forzada por departamento de ocurrencia desde el año 2020 hasta Junio 2025</t>
  </si>
  <si>
    <t>Se presenta el número de casos por año de desaparicion forzada distribuidos por mes desde 2020 a Junio 2025</t>
  </si>
  <si>
    <t>Enero 2025</t>
  </si>
  <si>
    <t>Febrero 2025</t>
  </si>
  <si>
    <t>Marzo 2025</t>
  </si>
  <si>
    <t>Abril 2025</t>
  </si>
  <si>
    <t>Mayo 2025</t>
  </si>
  <si>
    <t>Junio 2025</t>
  </si>
  <si>
    <t>Mide el número de Casos de Desaparición forzada en la población Boyacense desde 2020 a junio 2025</t>
  </si>
  <si>
    <t>15296</t>
  </si>
  <si>
    <t>2022</t>
  </si>
  <si>
    <t>15047</t>
  </si>
  <si>
    <t>2023</t>
  </si>
  <si>
    <t>15646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</si>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</sst>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7" fillId="0" borderId="1" xfId="0" applyFont="1" applyBorder="1"/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6" fillId="0" borderId="2" xfId="0" applyFont="1" applyBorder="1"/>
    <xf numFmtId="0" fontId="11" fillId="0" borderId="2" xfId="0" applyFont="1" applyBorder="1"/>
    <xf numFmtId="0" fontId="4" fillId="0" borderId="2" xfId="0" applyFont="1" applyBorder="1"/>
    <xf numFmtId="0" fontId="10" fillId="0" borderId="2" xfId="0" applyFont="1" applyBorder="1" applyAlignment="1">
      <alignment horizontal="right"/>
    </xf>
    <xf numFmtId="0" fontId="0" fillId="0" borderId="2" xfId="0" applyBorder="1"/>
    <xf numFmtId="0" fontId="12" fillId="2" borderId="3" xfId="0" applyFont="1" applyFill="1" applyBorder="1"/>
    <xf numFmtId="49" fontId="3" fillId="0" borderId="0" xfId="0" applyNumberFormat="1" applyFont="1"/>
    <xf numFmtId="0" fontId="10" fillId="0" borderId="0" xfId="0" applyFont="1" applyBorder="1" applyAlignment="1">
      <alignment horizontal="right"/>
    </xf>
    <xf numFmtId="0" fontId="0" fillId="0" borderId="0" xfId="0" applyBorder="1"/>
    <xf numFmtId="49" fontId="8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12" fillId="2" borderId="0" xfId="0" applyFont="1" applyFill="1" applyBorder="1"/>
    <xf numFmtId="0" fontId="0" fillId="0" borderId="2" xfId="0" applyBorder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Número de casos de</a:t>
            </a:r>
            <a:r>
              <a:rPr lang="es-CO" sz="1600" b="1" baseline="0"/>
              <a:t> desaparicion forzada por ciclo de vida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  <a:endParaRPr lang="es-CO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data1!$C$2:$C$12</c:f>
              <c:numCache>
                <c:formatCode>General</c:formatCode>
                <c:ptCount val="11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data1!$D$2:$D$12</c:f>
              <c:numCache>
                <c:formatCode>General</c:formatCode>
                <c:ptCount val="11"/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data1!$E$2:$E$12</c:f>
              <c:numCache>
                <c:formatCode>General</c:formatCode>
                <c:ptCount val="11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data1!$F$2:$F$12</c:f>
              <c:numCache>
                <c:formatCode>General</c:formatCode>
                <c:ptCount val="11"/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data1!$G$2:$G$12</c:f>
              <c:numCache>
                <c:formatCode>General</c:formatCode>
                <c:ptCount val="11"/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E-41A6-AB4D-FE68D083C1A7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data1!$H$2:$H$12</c:f>
              <c:numCache>
                <c:formatCode>General</c:formatCode>
                <c:ptCount val="11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9E-41A6-AB4D-FE68D083C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CASOS DE DESAPARICION</a:t>
            </a:r>
            <a:r>
              <a:rPr lang="es-CO" sz="1600" b="1" baseline="0"/>
              <a:t> FORZADA</a:t>
            </a:r>
            <a:endParaRPr lang="es-CO" sz="1600" b="1"/>
          </a:p>
          <a:p>
            <a:pPr>
              <a:defRPr/>
            </a:pPr>
            <a:r>
              <a:rPr lang="es-CO" sz="1000" b="1" baseline="0"/>
              <a:t>2020 a Junio 2025</a:t>
            </a:r>
            <a:endParaRPr lang="es-CO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data5!$B$2:$BO$2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Mes / Año</a:t>
                </a:r>
              </a:p>
            </c:rich>
          </c:tx>
          <c:layout>
            <c:manualLayout>
              <c:xMode val="edge"/>
              <c:yMode val="edge"/>
              <c:x val="0.483021697287839"/>
              <c:y val="0.88372692646585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80961</xdr:colOff>
      <xdr:row>19</xdr:row>
      <xdr:rowOff>185737</xdr:rowOff>
    </xdr:from>
    <xdr:to>
      <xdr:col>11</xdr:col>
      <xdr:colOff>704850</xdr:colOff>
      <xdr:row>36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10</xdr:row>
      <xdr:rowOff>17463</xdr:rowOff>
    </xdr:from>
    <xdr:to>
      <xdr:col>16</xdr:col>
      <xdr:colOff>71438</xdr:colOff>
      <xdr:row>25</xdr:row>
      <xdr:rowOff>22225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3" sqref="B3"/>
    </sheetView>
  </sheetViews>
  <sheetFormatPr baseColWidth="10" defaultColWidth="14.42578125" defaultRowHeight="15" customHeight="1"/>
  <sheetData>
    <row r="1" spans="1:2">
      <c r="A1" s="1" t="s">
        <v>17</v>
      </c>
      <c r="B1" s="1" t="s">
        <v>20</v>
      </c>
    </row>
    <row r="2" spans="1:2">
      <c r="A2" s="1" t="s">
        <v>18</v>
      </c>
      <c r="B2" s="1" t="s">
        <v>133</v>
      </c>
    </row>
    <row r="3" spans="1:2">
      <c r="A3" s="1" t="s">
        <v>1</v>
      </c>
      <c r="B3" s="1" t="s">
        <v>105</v>
      </c>
    </row>
    <row r="4" spans="1:2">
      <c r="A4" s="1" t="s">
        <v>19</v>
      </c>
      <c r="B4" s="1" t="s">
        <v>26</v>
      </c>
    </row>
    <row r="5" spans="1:2">
      <c r="A5" s="1" t="s">
        <v>2</v>
      </c>
      <c r="B5" s="5" t="s">
        <v>20</v>
      </c>
    </row>
    <row r="6" spans="1:2">
      <c r="A6" t="s">
        <v>3</v>
      </c>
      <c r="B6" s="1" t="s">
        <v>106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3"/>
  <sheetViews>
    <sheetView workbookViewId="0">
      <selection activeCell="I12" sqref="I2:I12"/>
    </sheetView>
  </sheetViews>
  <sheetFormatPr baseColWidth="10" defaultColWidth="14.42578125" defaultRowHeight="15" customHeight="1"/>
  <cols>
    <col min="2" max="2" width="13.5703125" bestFit="1" customWidth="1"/>
    <col min="3" max="22" width="10.7109375" customWidth="1"/>
  </cols>
  <sheetData>
    <row r="1" spans="1:12">
      <c r="A1" s="6" t="s">
        <v>4</v>
      </c>
      <c r="B1" s="6" t="s">
        <v>46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8" t="s">
        <v>32</v>
      </c>
      <c r="I1" s="6" t="s">
        <v>5</v>
      </c>
      <c r="L1" s="2"/>
    </row>
    <row r="2" spans="1:12">
      <c r="A2" s="9">
        <v>2020</v>
      </c>
      <c r="B2" s="9" t="s">
        <v>47</v>
      </c>
      <c r="C2" s="10"/>
      <c r="D2" s="10"/>
      <c r="E2" s="10"/>
      <c r="F2" s="10"/>
      <c r="G2" s="10"/>
      <c r="H2" s="10"/>
      <c r="I2" s="10">
        <f>SUM(C2:H2)</f>
        <v>0</v>
      </c>
    </row>
    <row r="3" spans="1:12">
      <c r="A3" s="9">
        <v>2020</v>
      </c>
      <c r="B3" s="9" t="s">
        <v>48</v>
      </c>
      <c r="C3" s="10"/>
      <c r="D3" s="10"/>
      <c r="E3" s="10"/>
      <c r="F3" s="10"/>
      <c r="G3" s="10"/>
      <c r="H3" s="10"/>
      <c r="I3" s="10">
        <f t="shared" ref="I3:I12" si="0">SUM(C3:H3)</f>
        <v>0</v>
      </c>
    </row>
    <row r="4" spans="1:12">
      <c r="A4" s="9">
        <v>2021</v>
      </c>
      <c r="B4" s="9" t="s">
        <v>47</v>
      </c>
      <c r="C4" s="10"/>
      <c r="D4" s="10"/>
      <c r="E4" s="10"/>
      <c r="F4" s="10"/>
      <c r="G4" s="10"/>
      <c r="H4" s="10"/>
      <c r="I4" s="10">
        <f t="shared" si="0"/>
        <v>0</v>
      </c>
    </row>
    <row r="5" spans="1:12">
      <c r="A5" s="9">
        <v>2021</v>
      </c>
      <c r="B5" s="9" t="s">
        <v>48</v>
      </c>
      <c r="C5" s="10"/>
      <c r="D5" s="10"/>
      <c r="E5" s="10"/>
      <c r="F5" s="10">
        <v>2</v>
      </c>
      <c r="G5" s="10">
        <v>1</v>
      </c>
      <c r="H5" s="10"/>
      <c r="I5" s="10">
        <f t="shared" si="0"/>
        <v>3</v>
      </c>
    </row>
    <row r="6" spans="1:12">
      <c r="A6" s="9">
        <v>2022</v>
      </c>
      <c r="B6" s="9" t="s">
        <v>47</v>
      </c>
      <c r="C6" s="10"/>
      <c r="D6" s="10"/>
      <c r="E6" s="10"/>
      <c r="F6" s="10">
        <v>2</v>
      </c>
      <c r="G6" s="10">
        <v>1</v>
      </c>
      <c r="H6" s="10"/>
      <c r="I6" s="10">
        <f t="shared" si="0"/>
        <v>3</v>
      </c>
    </row>
    <row r="7" spans="1:12">
      <c r="A7" s="9">
        <v>2022</v>
      </c>
      <c r="B7" s="9" t="s">
        <v>48</v>
      </c>
      <c r="C7" s="10">
        <v>2</v>
      </c>
      <c r="D7" s="10"/>
      <c r="E7" s="10">
        <v>2</v>
      </c>
      <c r="F7" s="10">
        <v>5</v>
      </c>
      <c r="G7" s="10">
        <v>4</v>
      </c>
      <c r="H7" s="10"/>
      <c r="I7" s="10">
        <f t="shared" si="0"/>
        <v>13</v>
      </c>
    </row>
    <row r="8" spans="1:12">
      <c r="A8" s="9">
        <v>2023</v>
      </c>
      <c r="B8" s="9" t="s">
        <v>47</v>
      </c>
      <c r="C8" s="10"/>
      <c r="D8" s="10"/>
      <c r="E8" s="10"/>
      <c r="F8" s="10">
        <v>1</v>
      </c>
      <c r="G8" s="10">
        <v>1</v>
      </c>
      <c r="H8" s="10"/>
      <c r="I8" s="10">
        <f t="shared" si="0"/>
        <v>2</v>
      </c>
    </row>
    <row r="9" spans="1:12">
      <c r="A9" s="9">
        <v>2023</v>
      </c>
      <c r="B9" s="9" t="s">
        <v>48</v>
      </c>
      <c r="C9" s="10"/>
      <c r="D9" s="10"/>
      <c r="E9" s="10"/>
      <c r="F9" s="10"/>
      <c r="G9" s="10">
        <v>1</v>
      </c>
      <c r="H9" s="10"/>
      <c r="I9" s="10">
        <f t="shared" si="0"/>
        <v>1</v>
      </c>
    </row>
    <row r="10" spans="1:12">
      <c r="A10" s="9">
        <v>2024</v>
      </c>
      <c r="B10" s="9" t="s">
        <v>47</v>
      </c>
      <c r="C10" s="10"/>
      <c r="D10" s="10"/>
      <c r="E10" s="10"/>
      <c r="F10" s="10"/>
      <c r="G10" s="10">
        <v>1</v>
      </c>
      <c r="H10" s="10"/>
      <c r="I10" s="10">
        <f t="shared" si="0"/>
        <v>1</v>
      </c>
    </row>
    <row r="11" spans="1:12" ht="15" customHeight="1">
      <c r="A11" s="9">
        <v>2024</v>
      </c>
      <c r="B11" s="9" t="s">
        <v>48</v>
      </c>
      <c r="C11" s="10"/>
      <c r="D11" s="10">
        <v>1</v>
      </c>
      <c r="E11" s="10"/>
      <c r="F11" s="10"/>
      <c r="G11" s="10"/>
      <c r="H11" s="10"/>
      <c r="I11" s="10">
        <f t="shared" si="0"/>
        <v>1</v>
      </c>
    </row>
    <row r="12" spans="1:12" ht="15" customHeight="1">
      <c r="A12" s="13">
        <v>2025</v>
      </c>
      <c r="B12" s="9" t="s">
        <v>47</v>
      </c>
      <c r="C12" s="14"/>
      <c r="D12" s="14">
        <v>1</v>
      </c>
      <c r="E12" s="14"/>
      <c r="F12" s="14"/>
      <c r="G12" s="14">
        <v>1</v>
      </c>
      <c r="H12" s="14">
        <v>1</v>
      </c>
      <c r="I12" s="10">
        <f t="shared" si="0"/>
        <v>3</v>
      </c>
    </row>
    <row r="14" spans="1:12">
      <c r="A14" s="1" t="s">
        <v>1</v>
      </c>
      <c r="B14" s="1" t="s">
        <v>37</v>
      </c>
    </row>
    <row r="15" spans="1:12">
      <c r="A15" s="1" t="s">
        <v>0</v>
      </c>
      <c r="B15" s="1" t="s">
        <v>121</v>
      </c>
    </row>
    <row r="16" spans="1:12">
      <c r="A16" s="1" t="s">
        <v>6</v>
      </c>
      <c r="B16" s="1" t="s">
        <v>34</v>
      </c>
    </row>
    <row r="17" spans="1:2">
      <c r="A17" s="1" t="s">
        <v>8</v>
      </c>
      <c r="B17" s="1" t="s">
        <v>33</v>
      </c>
    </row>
    <row r="18" spans="1:2" ht="15" customHeight="1">
      <c r="A18" s="1"/>
      <c r="B18" s="1"/>
    </row>
    <row r="19" spans="1:2" ht="15" customHeight="1">
      <c r="A19" s="1" t="s">
        <v>14</v>
      </c>
      <c r="B19" s="1" t="s">
        <v>21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8"/>
  <sheetViews>
    <sheetView workbookViewId="0">
      <selection activeCell="F12" sqref="F1:F1048576"/>
    </sheetView>
  </sheetViews>
  <sheetFormatPr baseColWidth="10" defaultColWidth="14.42578125" defaultRowHeight="15" customHeight="1"/>
  <cols>
    <col min="1" max="1" width="11.85546875" style="16" bestFit="1" customWidth="1"/>
    <col min="2" max="2" width="10.7109375" style="16" customWidth="1"/>
    <col min="3" max="3" width="17.42578125" customWidth="1"/>
    <col min="4" max="25" width="10.7109375" customWidth="1"/>
  </cols>
  <sheetData>
    <row r="1" spans="1:5">
      <c r="A1" s="15" t="s">
        <v>22</v>
      </c>
      <c r="B1" s="15" t="s">
        <v>4</v>
      </c>
      <c r="C1" s="3" t="s">
        <v>9</v>
      </c>
      <c r="D1" s="3" t="s">
        <v>10</v>
      </c>
      <c r="E1" s="3" t="s">
        <v>11</v>
      </c>
    </row>
    <row r="2" spans="1:5">
      <c r="A2" s="16" t="s">
        <v>107</v>
      </c>
      <c r="B2" s="16">
        <v>2021</v>
      </c>
      <c r="C2" t="s">
        <v>31</v>
      </c>
      <c r="D2" t="s">
        <v>13</v>
      </c>
      <c r="E2">
        <v>1</v>
      </c>
    </row>
    <row r="3" spans="1:5">
      <c r="A3" s="16" t="s">
        <v>107</v>
      </c>
      <c r="B3" s="16">
        <v>2021</v>
      </c>
      <c r="C3" t="s">
        <v>30</v>
      </c>
      <c r="D3" t="s">
        <v>12</v>
      </c>
      <c r="E3">
        <v>1</v>
      </c>
    </row>
    <row r="4" spans="1:5">
      <c r="A4" s="16" t="s">
        <v>109</v>
      </c>
      <c r="B4" s="16">
        <v>2022</v>
      </c>
      <c r="C4" t="s">
        <v>29</v>
      </c>
      <c r="D4" t="s">
        <v>13</v>
      </c>
      <c r="E4">
        <v>1</v>
      </c>
    </row>
    <row r="5" spans="1:5">
      <c r="A5" s="16" t="s">
        <v>109</v>
      </c>
      <c r="B5" s="16">
        <v>2022</v>
      </c>
      <c r="C5" t="s">
        <v>31</v>
      </c>
      <c r="D5" t="s">
        <v>12</v>
      </c>
      <c r="E5">
        <v>1</v>
      </c>
    </row>
    <row r="6" spans="1:5">
      <c r="A6" s="16" t="s">
        <v>109</v>
      </c>
      <c r="B6" s="16">
        <v>2022</v>
      </c>
      <c r="C6" t="s">
        <v>31</v>
      </c>
      <c r="D6" t="s">
        <v>13</v>
      </c>
      <c r="E6">
        <v>1</v>
      </c>
    </row>
    <row r="7" spans="1:5">
      <c r="A7" s="16" t="s">
        <v>109</v>
      </c>
      <c r="B7" s="16">
        <v>2022</v>
      </c>
      <c r="C7" t="s">
        <v>27</v>
      </c>
      <c r="D7" t="s">
        <v>13</v>
      </c>
      <c r="E7">
        <v>1</v>
      </c>
    </row>
    <row r="8" spans="1:5" ht="15.75" customHeight="1">
      <c r="A8" s="16" t="s">
        <v>110</v>
      </c>
      <c r="B8" s="16">
        <v>2023</v>
      </c>
      <c r="C8" t="s">
        <v>31</v>
      </c>
      <c r="D8" t="s">
        <v>13</v>
      </c>
      <c r="E8">
        <v>1</v>
      </c>
    </row>
    <row r="9" spans="1:5" ht="15.75" customHeight="1">
      <c r="A9" s="16" t="s">
        <v>110</v>
      </c>
      <c r="B9" s="16" t="s">
        <v>135</v>
      </c>
      <c r="C9" t="s">
        <v>30</v>
      </c>
      <c r="D9" t="s">
        <v>12</v>
      </c>
      <c r="E9">
        <v>1</v>
      </c>
    </row>
    <row r="10" spans="1:5" ht="15.75" customHeight="1">
      <c r="A10" s="16" t="s">
        <v>111</v>
      </c>
      <c r="B10" s="16">
        <v>2022</v>
      </c>
      <c r="C10" t="s">
        <v>31</v>
      </c>
      <c r="D10" t="s">
        <v>13</v>
      </c>
      <c r="E10">
        <v>1</v>
      </c>
    </row>
    <row r="11" spans="1:5" ht="15.75" customHeight="1">
      <c r="A11" s="16" t="s">
        <v>112</v>
      </c>
      <c r="B11" s="16">
        <v>2024</v>
      </c>
      <c r="C11" t="s">
        <v>28</v>
      </c>
      <c r="D11" t="s">
        <v>12</v>
      </c>
      <c r="E11">
        <v>1</v>
      </c>
    </row>
    <row r="12" spans="1:5" ht="15.75" customHeight="1">
      <c r="A12" s="16" t="s">
        <v>113</v>
      </c>
      <c r="B12" s="16">
        <v>2021</v>
      </c>
      <c r="C12" t="s">
        <v>30</v>
      </c>
      <c r="D12" t="s">
        <v>13</v>
      </c>
      <c r="E12">
        <v>1</v>
      </c>
    </row>
    <row r="13" spans="1:5" ht="15.75" customHeight="1">
      <c r="A13" s="16">
        <v>15001</v>
      </c>
      <c r="B13" s="16" t="s">
        <v>123</v>
      </c>
      <c r="C13" t="s">
        <v>31</v>
      </c>
      <c r="D13" t="s">
        <v>13</v>
      </c>
      <c r="E13">
        <v>1</v>
      </c>
    </row>
    <row r="14" spans="1:5" ht="15.75" customHeight="1">
      <c r="A14" s="16">
        <v>15001</v>
      </c>
      <c r="B14" s="16" t="s">
        <v>123</v>
      </c>
      <c r="C14" t="s">
        <v>28</v>
      </c>
      <c r="D14" t="s">
        <v>12</v>
      </c>
      <c r="E14">
        <v>1</v>
      </c>
    </row>
    <row r="15" spans="1:5" ht="15.75" customHeight="1">
      <c r="A15" s="16">
        <v>15001</v>
      </c>
      <c r="B15" s="16" t="s">
        <v>123</v>
      </c>
      <c r="C15" t="s">
        <v>108</v>
      </c>
      <c r="D15" t="s">
        <v>12</v>
      </c>
      <c r="E15">
        <v>1</v>
      </c>
    </row>
    <row r="16" spans="1:5" ht="15.75" customHeight="1">
      <c r="A16" s="16" t="s">
        <v>134</v>
      </c>
      <c r="B16" s="16" t="s">
        <v>135</v>
      </c>
      <c r="C16" t="s">
        <v>29</v>
      </c>
      <c r="D16" t="s">
        <v>13</v>
      </c>
      <c r="E16">
        <v>1</v>
      </c>
    </row>
    <row r="17" spans="1:5" ht="15.75" customHeight="1">
      <c r="A17" s="16" t="s">
        <v>134</v>
      </c>
      <c r="B17" s="16" t="s">
        <v>135</v>
      </c>
      <c r="C17" t="s">
        <v>30</v>
      </c>
      <c r="D17" t="s">
        <v>12</v>
      </c>
      <c r="E17">
        <v>2</v>
      </c>
    </row>
    <row r="18" spans="1:5" ht="15.75" customHeight="1">
      <c r="A18" s="16" t="s">
        <v>134</v>
      </c>
      <c r="B18" s="16" t="s">
        <v>135</v>
      </c>
      <c r="C18" t="s">
        <v>31</v>
      </c>
      <c r="D18" t="s">
        <v>13</v>
      </c>
      <c r="E18">
        <v>1</v>
      </c>
    </row>
    <row r="19" spans="1:5" ht="15.75" customHeight="1">
      <c r="A19" s="16" t="s">
        <v>134</v>
      </c>
      <c r="B19" s="16" t="s">
        <v>135</v>
      </c>
      <c r="C19" t="s">
        <v>31</v>
      </c>
      <c r="D19" t="s">
        <v>12</v>
      </c>
      <c r="E19">
        <v>1</v>
      </c>
    </row>
    <row r="20" spans="1:5" ht="15.75" customHeight="1">
      <c r="A20" s="16" t="s">
        <v>136</v>
      </c>
      <c r="B20" s="16" t="s">
        <v>137</v>
      </c>
      <c r="C20" t="s">
        <v>31</v>
      </c>
      <c r="D20" t="s">
        <v>13</v>
      </c>
      <c r="E20">
        <v>1</v>
      </c>
    </row>
    <row r="21" spans="1:5" ht="15.75" customHeight="1">
      <c r="A21" s="16" t="s">
        <v>110</v>
      </c>
      <c r="B21" s="16" t="s">
        <v>137</v>
      </c>
      <c r="C21" t="s">
        <v>29</v>
      </c>
      <c r="D21" t="s">
        <v>12</v>
      </c>
      <c r="E21">
        <v>1</v>
      </c>
    </row>
    <row r="22" spans="1:5" ht="15.75" customHeight="1">
      <c r="A22" s="16" t="s">
        <v>111</v>
      </c>
      <c r="B22" s="16" t="s">
        <v>135</v>
      </c>
      <c r="C22" t="s">
        <v>30</v>
      </c>
      <c r="D22" t="s">
        <v>13</v>
      </c>
      <c r="E22">
        <v>2</v>
      </c>
    </row>
    <row r="23" spans="1:5" ht="15.75" customHeight="1">
      <c r="A23" s="16" t="s">
        <v>138</v>
      </c>
      <c r="B23" s="16" t="s">
        <v>135</v>
      </c>
      <c r="C23" t="s">
        <v>27</v>
      </c>
      <c r="D23" t="s">
        <v>12</v>
      </c>
      <c r="E23">
        <v>1</v>
      </c>
    </row>
    <row r="24" spans="1:5" ht="15.75" customHeight="1">
      <c r="A24" s="16" t="s">
        <v>138</v>
      </c>
      <c r="B24" s="16" t="s">
        <v>135</v>
      </c>
      <c r="C24" t="s">
        <v>30</v>
      </c>
      <c r="D24" t="s">
        <v>13</v>
      </c>
      <c r="E24">
        <v>1</v>
      </c>
    </row>
    <row r="25" spans="1:5" ht="15.75" customHeight="1">
      <c r="A25" s="16" t="s">
        <v>138</v>
      </c>
      <c r="B25" s="16" t="s">
        <v>135</v>
      </c>
      <c r="C25" t="s">
        <v>30</v>
      </c>
      <c r="D25" t="s">
        <v>12</v>
      </c>
      <c r="E25">
        <v>1</v>
      </c>
    </row>
    <row r="26" spans="1:5" ht="15.75" customHeight="1">
      <c r="A26" s="16">
        <v>15001</v>
      </c>
      <c r="B26" s="16" t="s">
        <v>139</v>
      </c>
      <c r="C26" t="s">
        <v>31</v>
      </c>
      <c r="D26" t="s">
        <v>13</v>
      </c>
      <c r="E26">
        <v>1</v>
      </c>
    </row>
    <row r="27" spans="1:5" ht="15.75" customHeight="1"/>
    <row r="28" spans="1:5" ht="15.75" customHeight="1">
      <c r="A28" s="1" t="s">
        <v>14</v>
      </c>
      <c r="B28" s="1" t="s">
        <v>15</v>
      </c>
    </row>
    <row r="29" spans="1:5" ht="15.75" customHeight="1">
      <c r="A29" s="1" t="s">
        <v>16</v>
      </c>
      <c r="B29" s="5" t="s">
        <v>45</v>
      </c>
    </row>
    <row r="30" spans="1:5" ht="15.75" customHeight="1">
      <c r="A30" s="1" t="s">
        <v>18</v>
      </c>
      <c r="B30" s="1" t="s">
        <v>122</v>
      </c>
    </row>
    <row r="31" spans="1:5" ht="15.75" customHeight="1">
      <c r="A31" s="1" t="s">
        <v>6</v>
      </c>
      <c r="B31" s="1" t="s">
        <v>7</v>
      </c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</sheetData>
  <autoFilter ref="A1:E26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0"/>
  <sheetViews>
    <sheetView zoomScale="80" zoomScaleNormal="80" workbookViewId="0">
      <selection activeCell="B4" sqref="B4"/>
    </sheetView>
  </sheetViews>
  <sheetFormatPr baseColWidth="10" defaultRowHeight="15"/>
  <sheetData>
    <row r="1" spans="1:2">
      <c r="A1" t="s">
        <v>24</v>
      </c>
      <c r="B1" s="4" t="s">
        <v>11</v>
      </c>
    </row>
    <row r="2" spans="1:2">
      <c r="A2" t="s">
        <v>12</v>
      </c>
      <c r="B2" s="4">
        <v>15</v>
      </c>
    </row>
    <row r="3" spans="1:2">
      <c r="A3" t="s">
        <v>13</v>
      </c>
      <c r="B3" s="4">
        <v>12</v>
      </c>
    </row>
    <row r="5" spans="1:2">
      <c r="A5" s="1" t="s">
        <v>16</v>
      </c>
      <c r="B5" s="5" t="s">
        <v>38</v>
      </c>
    </row>
    <row r="6" spans="1:2">
      <c r="A6" s="1" t="s">
        <v>18</v>
      </c>
      <c r="B6" s="1" t="s">
        <v>124</v>
      </c>
    </row>
    <row r="7" spans="1:2">
      <c r="A7" s="1" t="s">
        <v>6</v>
      </c>
      <c r="B7" t="s">
        <v>10</v>
      </c>
    </row>
    <row r="8" spans="1:2">
      <c r="A8" s="1" t="s">
        <v>8</v>
      </c>
      <c r="B8" s="1" t="s">
        <v>7</v>
      </c>
    </row>
    <row r="10" spans="1:2">
      <c r="A10" t="s">
        <v>14</v>
      </c>
      <c r="B10" t="s">
        <v>23</v>
      </c>
    </row>
  </sheetData>
  <sortState xmlns:xlrd2="http://schemas.microsoft.com/office/spreadsheetml/2017/richdata2" ref="A2:B3">
    <sortCondition descending="1" ref="B2:B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G1003"/>
  <sheetViews>
    <sheetView workbookViewId="0">
      <selection activeCell="I6" sqref="I6"/>
    </sheetView>
  </sheetViews>
  <sheetFormatPr baseColWidth="10" defaultColWidth="14.42578125" defaultRowHeight="15" customHeight="1"/>
  <cols>
    <col min="1" max="1" width="8.5703125" customWidth="1"/>
    <col min="2" max="23" width="10.7109375" customWidth="1"/>
  </cols>
  <sheetData>
    <row r="1" spans="1:7">
      <c r="A1" s="6" t="s">
        <v>4</v>
      </c>
      <c r="B1" s="6" t="s">
        <v>46</v>
      </c>
      <c r="C1" s="19" t="s">
        <v>39</v>
      </c>
      <c r="D1" s="19" t="s">
        <v>40</v>
      </c>
      <c r="E1" s="19" t="s">
        <v>41</v>
      </c>
      <c r="F1" s="19" t="s">
        <v>42</v>
      </c>
      <c r="G1" s="19" t="s">
        <v>43</v>
      </c>
    </row>
    <row r="2" spans="1:7">
      <c r="A2" s="9">
        <v>2020</v>
      </c>
      <c r="B2" s="9" t="s">
        <v>47</v>
      </c>
      <c r="C2" s="20"/>
      <c r="D2" s="20"/>
      <c r="E2" s="20"/>
      <c r="F2" s="20"/>
      <c r="G2" s="20"/>
    </row>
    <row r="3" spans="1:7">
      <c r="A3" s="9">
        <v>2020</v>
      </c>
      <c r="B3" s="9" t="s">
        <v>48</v>
      </c>
      <c r="C3" s="20"/>
      <c r="D3" s="20"/>
      <c r="E3" s="20"/>
      <c r="F3" s="20"/>
      <c r="G3" s="20"/>
    </row>
    <row r="4" spans="1:7">
      <c r="A4" s="9">
        <v>2021</v>
      </c>
      <c r="B4" s="9" t="s">
        <v>47</v>
      </c>
      <c r="C4" s="20"/>
      <c r="D4" s="20"/>
      <c r="E4" s="20"/>
      <c r="F4" s="20"/>
      <c r="G4" s="20"/>
    </row>
    <row r="5" spans="1:7">
      <c r="A5" s="9">
        <v>2021</v>
      </c>
      <c r="B5" s="9" t="s">
        <v>48</v>
      </c>
      <c r="C5" s="20"/>
      <c r="D5" s="20"/>
      <c r="E5" s="20"/>
      <c r="F5" s="20">
        <v>1</v>
      </c>
      <c r="G5" s="20">
        <v>2</v>
      </c>
    </row>
    <row r="6" spans="1:7">
      <c r="A6" s="9">
        <v>2022</v>
      </c>
      <c r="B6" s="9" t="s">
        <v>47</v>
      </c>
      <c r="C6" s="20">
        <v>3</v>
      </c>
      <c r="D6" s="20">
        <v>8</v>
      </c>
      <c r="E6" s="20"/>
      <c r="F6" s="20"/>
      <c r="G6" s="20"/>
    </row>
    <row r="7" spans="1:7">
      <c r="A7" s="9">
        <v>2022</v>
      </c>
      <c r="B7" s="9" t="s">
        <v>48</v>
      </c>
      <c r="C7" s="20"/>
      <c r="D7" s="20"/>
      <c r="E7" s="20">
        <v>5</v>
      </c>
      <c r="F7" s="20"/>
      <c r="G7" s="20"/>
    </row>
    <row r="8" spans="1:7" ht="15" customHeight="1">
      <c r="A8" s="9">
        <v>2023</v>
      </c>
      <c r="B8" s="9" t="s">
        <v>47</v>
      </c>
      <c r="C8" s="20"/>
      <c r="D8" s="20"/>
      <c r="E8" s="20">
        <v>2</v>
      </c>
      <c r="F8" s="20"/>
      <c r="G8" s="20"/>
    </row>
    <row r="9" spans="1:7" ht="15" customHeight="1">
      <c r="A9" s="9">
        <v>2023</v>
      </c>
      <c r="B9" s="9" t="s">
        <v>48</v>
      </c>
      <c r="C9" s="20"/>
      <c r="D9" s="20"/>
      <c r="E9" s="20"/>
      <c r="F9" s="20">
        <v>1</v>
      </c>
      <c r="G9" s="20"/>
    </row>
    <row r="10" spans="1:7" ht="15" customHeight="1">
      <c r="A10" s="9">
        <v>2024</v>
      </c>
      <c r="B10" s="9" t="s">
        <v>47</v>
      </c>
      <c r="C10" s="20"/>
      <c r="D10" s="20">
        <v>1</v>
      </c>
      <c r="E10" s="20"/>
      <c r="F10" s="20"/>
      <c r="G10" s="20"/>
    </row>
    <row r="11" spans="1:7" ht="15" customHeight="1">
      <c r="A11" s="9">
        <v>2024</v>
      </c>
      <c r="B11" s="9" t="s">
        <v>48</v>
      </c>
      <c r="C11" s="20"/>
      <c r="D11" s="20"/>
      <c r="E11" s="20"/>
      <c r="F11" s="20"/>
      <c r="G11" s="20">
        <v>1</v>
      </c>
    </row>
    <row r="12" spans="1:7" ht="15" customHeight="1">
      <c r="A12" s="13">
        <v>2025</v>
      </c>
      <c r="B12" s="9" t="s">
        <v>47</v>
      </c>
      <c r="C12" s="20"/>
      <c r="D12" s="20">
        <v>3</v>
      </c>
      <c r="E12" s="20"/>
      <c r="F12" s="20"/>
      <c r="G12" s="20"/>
    </row>
    <row r="14" spans="1:7">
      <c r="A14" s="1" t="s">
        <v>1</v>
      </c>
      <c r="B14" s="1" t="s">
        <v>44</v>
      </c>
      <c r="C14" s="1"/>
    </row>
    <row r="15" spans="1:7">
      <c r="A15" s="1" t="s">
        <v>18</v>
      </c>
      <c r="B15" s="1" t="s">
        <v>125</v>
      </c>
      <c r="C15" s="5"/>
    </row>
    <row r="16" spans="1:7">
      <c r="A16" s="1" t="s">
        <v>6</v>
      </c>
      <c r="B16" s="1" t="s">
        <v>35</v>
      </c>
      <c r="C16" s="1"/>
    </row>
    <row r="17" spans="1:3">
      <c r="A17" s="1" t="s">
        <v>8</v>
      </c>
      <c r="B17" s="1" t="s">
        <v>33</v>
      </c>
      <c r="C17" s="5"/>
    </row>
    <row r="18" spans="1:3" ht="15" customHeight="1">
      <c r="A18" s="1"/>
      <c r="B18" s="1"/>
      <c r="C18" s="1"/>
    </row>
    <row r="19" spans="1:3" ht="15" customHeight="1">
      <c r="A19" s="1" t="s">
        <v>14</v>
      </c>
      <c r="B19" s="1" t="s">
        <v>21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O9"/>
  <sheetViews>
    <sheetView zoomScale="80" zoomScaleNormal="80" workbookViewId="0">
      <selection activeCell="BO2" sqref="A2:BO2"/>
    </sheetView>
  </sheetViews>
  <sheetFormatPr baseColWidth="10" defaultRowHeight="15"/>
  <sheetData>
    <row r="1" spans="1:67">
      <c r="A1" t="s">
        <v>103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s="12" t="s">
        <v>115</v>
      </c>
      <c r="BE1" s="12" t="s">
        <v>116</v>
      </c>
      <c r="BF1" s="12" t="s">
        <v>117</v>
      </c>
      <c r="BG1" s="12" t="s">
        <v>118</v>
      </c>
      <c r="BH1" s="12" t="s">
        <v>119</v>
      </c>
      <c r="BI1" s="12" t="s">
        <v>120</v>
      </c>
      <c r="BJ1" s="17" t="s">
        <v>127</v>
      </c>
      <c r="BK1" s="17" t="s">
        <v>128</v>
      </c>
      <c r="BL1" s="17" t="s">
        <v>129</v>
      </c>
      <c r="BM1" s="17" t="s">
        <v>130</v>
      </c>
      <c r="BN1" s="17" t="s">
        <v>131</v>
      </c>
      <c r="BO1" s="17" t="s">
        <v>132</v>
      </c>
    </row>
    <row r="2" spans="1:67">
      <c r="A2" t="s">
        <v>104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2</v>
      </c>
      <c r="X2" s="11">
        <v>0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3</v>
      </c>
      <c r="AE2" s="11">
        <v>0</v>
      </c>
      <c r="AF2" s="11">
        <v>0</v>
      </c>
      <c r="AG2" s="11">
        <v>5</v>
      </c>
      <c r="AH2" s="11">
        <v>8</v>
      </c>
      <c r="AI2" s="11">
        <v>0</v>
      </c>
      <c r="AJ2" s="11">
        <v>0</v>
      </c>
      <c r="AK2" s="11">
        <v>0</v>
      </c>
      <c r="AL2" s="11">
        <v>2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1</v>
      </c>
      <c r="AX2" s="11">
        <v>0</v>
      </c>
      <c r="AY2" s="11">
        <v>0</v>
      </c>
      <c r="AZ2" s="11">
        <v>1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  <c r="BH2" s="11">
        <v>0</v>
      </c>
      <c r="BI2" s="11">
        <v>0</v>
      </c>
      <c r="BJ2" s="18">
        <v>3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</row>
    <row r="4" spans="1:67">
      <c r="A4" s="1" t="s">
        <v>16</v>
      </c>
      <c r="B4" s="1" t="s">
        <v>114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18</v>
      </c>
      <c r="B5" s="1" t="s">
        <v>126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6</v>
      </c>
      <c r="B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8</v>
      </c>
      <c r="B7" s="1" t="s">
        <v>36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A9" t="s">
        <v>14</v>
      </c>
      <c r="B9" t="s">
        <v>25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2025-10-08T22:08:47Z</dcterms:modified>
</cp:coreProperties>
</file>