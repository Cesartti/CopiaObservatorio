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D1928B72-E83D-4EC5-8B4C-EFAFC1FB8F22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15" r:id="rId2"/>
    <sheet name="data2" sheetId="3" r:id="rId3"/>
    <sheet name="data3" sheetId="4" r:id="rId4"/>
    <sheet name="data4" sheetId="2" r:id="rId5"/>
    <sheet name="data5" sheetId="8" r:id="rId6"/>
    <sheet name="data6" sheetId="14" r:id="rId7"/>
  </sheets>
  <definedNames>
    <definedName name="_xlnm._FilterDatabase" localSheetId="2" hidden="1">data2!$A$1:$E$113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G12" i="14" l="1"/>
  <c r="F12" i="14"/>
  <c r="E12" i="14"/>
  <c r="D12" i="14"/>
  <c r="G11" i="14"/>
  <c r="G10" i="14"/>
  <c r="C12" i="14"/>
  <c r="G11" i="2"/>
  <c r="F10" i="2"/>
  <c r="D11" i="2"/>
  <c r="D10" i="2"/>
  <c r="D12" i="2" s="1"/>
  <c r="E12" i="2"/>
  <c r="C12" i="2"/>
  <c r="H12" i="15"/>
  <c r="G12" i="15"/>
  <c r="F12" i="15"/>
  <c r="E12" i="15"/>
  <c r="D12" i="15"/>
  <c r="C12" i="15"/>
  <c r="I11" i="15"/>
  <c r="I10" i="15"/>
  <c r="G9" i="14"/>
  <c r="G8" i="14"/>
  <c r="G7" i="14"/>
  <c r="G6" i="14"/>
  <c r="G5" i="14"/>
  <c r="G4" i="14"/>
  <c r="G3" i="14"/>
  <c r="G2" i="14"/>
  <c r="I9" i="15"/>
  <c r="I8" i="15"/>
  <c r="I7" i="15"/>
  <c r="I6" i="15"/>
  <c r="I5" i="15"/>
  <c r="I4" i="15"/>
  <c r="I3" i="15"/>
  <c r="I2" i="15"/>
  <c r="G10" i="2" l="1"/>
  <c r="F12" i="2"/>
  <c r="I12" i="15"/>
  <c r="G9" i="2"/>
  <c r="G8" i="2"/>
  <c r="G7" i="2"/>
  <c r="G6" i="2"/>
  <c r="G5" i="2"/>
  <c r="G4" i="2"/>
  <c r="G3" i="2"/>
  <c r="G2" i="2"/>
  <c r="G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<sst xmlns="http://schemas.openxmlformats.org/spreadsheetml/2006/main" count="514" uniqueCount="163">
  <si>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</si>
  <si>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</si>
  <si>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</si>
  <si>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</si>
  <si>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</si>
  <si>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</si>
  <si>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</si>
  <si>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</si>
  <si>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</si>
  <si>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</si>
  <si>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</si>
  <si>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</si>
  <si>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</si>
  <si>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</si>
  <si>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</si>
  <si>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</si>
  <si>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</si>
  <si>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</si>
  <si>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</si>
  <si>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</si>
  <si>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</si>
  <si>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</si>
  <si>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</si>
  <si>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</si>
  <si>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</si>
  <si>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</si>
  <si>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</si>
  <si>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</si>
  <si>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</si>
  <si>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</si>
  <si>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</si>
  <si>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</si>
  <si>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</si>
  <si>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</si>
  <si>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</si>
  <si>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</si>
  <si>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</si>
  <si>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</si>
  <si>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</si>
  <si>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</si>
  <si>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</si>
  <si>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</si>
  <si>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</si>
  <si>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</si>
  <si>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</si>
  <si>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</si>
  <si>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</si>
  <si>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</si>
  <si>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</si>
  <si>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</si>
  <si>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</si>
  <si>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</si>
  <si>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</si>
  <si>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</si>
  <si>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</si>
  <si>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</si>
  <si>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</si>
  <si>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</si>
  <si>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</si>
  <si>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</si>
  <si>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</si>
  <si>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</si>
  <si>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</si>
  <si>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</si>
  <si>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</si>
  <si>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</si>
  <si>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</si>
  <si>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</si>
  <si>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</si>
  <si>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</si>
  <si>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</si>
  <si>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</si>
  <si>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</si>
  <si>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</si>
  <si>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</si>
  <si>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</si>
  <si>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</si>
  <si>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</si>
  <si>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Información descargada de SIVIGILA - Instituto Nacional de Salud</t>
  </si>
  <si>
    <t>Primera infancia (0 a 5 años)</t>
  </si>
  <si>
    <t>Infancia (6 a 11 años)</t>
  </si>
  <si>
    <t>Adolescencia (12 a 17 años)</t>
  </si>
  <si>
    <t>15001</t>
  </si>
  <si>
    <t>Masculino</t>
  </si>
  <si>
    <t>Femenino</t>
  </si>
  <si>
    <t>15087</t>
  </si>
  <si>
    <t>15176</t>
  </si>
  <si>
    <t>15223</t>
  </si>
  <si>
    <t>15238</t>
  </si>
  <si>
    <t>15299</t>
  </si>
  <si>
    <t>15455</t>
  </si>
  <si>
    <t>15516</t>
  </si>
  <si>
    <t>15572</t>
  </si>
  <si>
    <t>15646</t>
  </si>
  <si>
    <t>15759</t>
  </si>
  <si>
    <t>Adultez (29 a 59 años)</t>
  </si>
  <si>
    <t>Juventud (18 a 28 años)</t>
  </si>
  <si>
    <t>Vejez (&gt;= 60 años)</t>
  </si>
  <si>
    <t>15047</t>
  </si>
  <si>
    <t>15212</t>
  </si>
  <si>
    <t>15236</t>
  </si>
  <si>
    <t>15469</t>
  </si>
  <si>
    <t>15480</t>
  </si>
  <si>
    <t>15507</t>
  </si>
  <si>
    <t>15681</t>
  </si>
  <si>
    <t>15690</t>
  </si>
  <si>
    <t>15693</t>
  </si>
  <si>
    <t>15778</t>
  </si>
  <si>
    <t>15808</t>
  </si>
  <si>
    <t>Indígena</t>
  </si>
  <si>
    <t>Otro</t>
  </si>
  <si>
    <t>Etnia</t>
  </si>
  <si>
    <t>Número de casos de Malaria en Boyacá</t>
  </si>
  <si>
    <t>MALARIA ASOCIADA (FORMAS MIXTAS)</t>
  </si>
  <si>
    <t>MALARIA COMPLICADA</t>
  </si>
  <si>
    <t>MALARIA FALCIPARUM</t>
  </si>
  <si>
    <t>MALARIA VIVAX</t>
  </si>
  <si>
    <t>Tipo malaria</t>
  </si>
  <si>
    <t>Tipo Malaria</t>
  </si>
  <si>
    <t>15183</t>
  </si>
  <si>
    <t>15189</t>
  </si>
  <si>
    <t>15276</t>
  </si>
  <si>
    <t>15464</t>
  </si>
  <si>
    <t>15533</t>
  </si>
  <si>
    <t>15664</t>
  </si>
  <si>
    <t>15676</t>
  </si>
  <si>
    <t>15753</t>
  </si>
  <si>
    <t>15776</t>
  </si>
  <si>
    <t>Número de casos de Malaria en cada municipio</t>
  </si>
  <si>
    <t>Número total de casos de Malaria distribuídos por Sexo</t>
  </si>
  <si>
    <t xml:space="preserve">Número de casos por año y mes de Malaria </t>
  </si>
  <si>
    <t xml:space="preserve">Se presenta el número de casos por año y mes de Malaria </t>
  </si>
  <si>
    <t>Negro, mulato</t>
  </si>
  <si>
    <t>Raizal</t>
  </si>
  <si>
    <t>Número de casos de Malaria por Etnia</t>
  </si>
  <si>
    <t>15185</t>
  </si>
  <si>
    <t>15491</t>
  </si>
  <si>
    <t>15542</t>
  </si>
  <si>
    <t>15673</t>
  </si>
  <si>
    <t>15740</t>
  </si>
  <si>
    <t>15764</t>
  </si>
  <si>
    <t>15897</t>
  </si>
  <si>
    <t>Número de casos de Malaria por sexo, tipo de malaria y municipio de residencia de enero 2020 a diciembre 2024</t>
  </si>
  <si>
    <t>Número de casos de Malaria del 2020 a 2024</t>
  </si>
  <si>
    <t>Número de casos de Malaria por ciclo de vida 2020 a 2024</t>
  </si>
  <si>
    <t>La gráfica muestra el número de casos de Malaria por ciclo de vida desde el año 2020 hasta 2024</t>
  </si>
  <si>
    <t>Número casos</t>
  </si>
  <si>
    <t>Se presenta la sumatoria total de casos de Malaria distribuidos por sexo durante el período 2020 a 2024</t>
  </si>
  <si>
    <t>Número de casos de Malaria por tipo del evento del 2020 a 2024</t>
  </si>
  <si>
    <t>La gráfica muestra el número de casos de Malaria por tipo del evento desde el año 2020 hasta 2024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</si>
  <si>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</si>
  <si>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</si>
  <si>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</si>
  <si>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</si>
  <si>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</si>
  <si>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</si>
  <si>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</si>
  <si>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</si>
  <si>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</si>
  <si>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</si>
  <si>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</si>
  <si>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</si>
  <si>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La gráfica muestra el número de casos de Malaria clasificados por Etnia desde el 2020 hasta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</si>
</sst>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3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2" borderId="3" xfId="0" applyFont="1" applyFill="1" applyBorder="1"/>
    <xf numFmtId="0" fontId="0" fillId="0" borderId="0" xfId="0" applyAlignment="1">
      <alignment horizontal="left"/>
    </xf>
    <xf numFmtId="0" fontId="8" fillId="2" borderId="4" xfId="0" applyFont="1" applyFill="1" applyBorder="1"/>
    <xf numFmtId="0" fontId="8" fillId="2" borderId="2" xfId="0" applyFont="1" applyFill="1" applyBorder="1"/>
    <xf numFmtId="0" fontId="3" fillId="0" borderId="2" xfId="0" applyFont="1" applyBorder="1" applyAlignment="1">
      <alignment horizontal="left"/>
    </xf>
    <xf numFmtId="0" fontId="9" fillId="0" borderId="0" xfId="0" applyFont="1"/>
    <xf numFmtId="0" fontId="1" fillId="0" borderId="0" xfId="0" applyFont="1"/>
    <xf numFmtId="0" fontId="8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MALARIA</a:t>
            </a:r>
            <a:r>
              <a:rPr lang="es-CO" b="1" baseline="0"/>
              <a:t> POR CICLO DE VIDA</a:t>
            </a:r>
          </a:p>
          <a:p>
            <a:pPr>
              <a:defRPr/>
            </a:pPr>
            <a:r>
              <a:rPr lang="es-CO" sz="1000" b="1" baseline="0"/>
              <a:t>enero 2020 a diciembre 2024</a:t>
            </a:r>
          </a:p>
        </c:rich>
      </c:tx>
      <c:layout>
        <c:manualLayout>
          <c:xMode val="edge"/>
          <c:yMode val="edge"/>
          <c:x val="0.11253627252554319"/>
          <c:y val="3.0004683802018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data1!$C$2:$C$11</c:f>
              <c:numCache>
                <c:formatCode>General</c:formatCode>
                <c:ptCount val="10"/>
                <c:pt idx="7">
                  <c:v>2</c:v>
                </c:pt>
                <c:pt idx="8">
                  <c:v>87</c:v>
                </c:pt>
                <c:pt idx="9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6-4C6A-B3FE-EDD2AE71A519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data1!$D$2:$D$11</c:f>
              <c:numCache>
                <c:formatCode>General</c:formatCode>
                <c:ptCount val="10"/>
                <c:pt idx="3">
                  <c:v>1</c:v>
                </c:pt>
                <c:pt idx="5">
                  <c:v>2</c:v>
                </c:pt>
                <c:pt idx="7">
                  <c:v>1</c:v>
                </c:pt>
                <c:pt idx="8">
                  <c:v>137</c:v>
                </c:pt>
                <c:pt idx="9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6-4C6A-B3FE-EDD2AE71A519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data1!$E$2:$E$11</c:f>
              <c:numCache>
                <c:formatCode>General</c:formatCode>
                <c:ptCount val="10"/>
                <c:pt idx="6">
                  <c:v>1</c:v>
                </c:pt>
                <c:pt idx="7">
                  <c:v>2</c:v>
                </c:pt>
                <c:pt idx="8">
                  <c:v>128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26-4C6A-B3FE-EDD2AE71A519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data1!$F$2:$F$11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12</c:v>
                </c:pt>
                <c:pt idx="6">
                  <c:v>9</c:v>
                </c:pt>
                <c:pt idx="7">
                  <c:v>18</c:v>
                </c:pt>
                <c:pt idx="8">
                  <c:v>116</c:v>
                </c:pt>
                <c:pt idx="9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26-4C6A-B3FE-EDD2AE71A519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data1!$G$2:$G$11</c:f>
              <c:numCache>
                <c:formatCode>General</c:formatCode>
                <c:ptCount val="10"/>
                <c:pt idx="0">
                  <c:v>9</c:v>
                </c:pt>
                <c:pt idx="1">
                  <c:v>2</c:v>
                </c:pt>
                <c:pt idx="2">
                  <c:v>5</c:v>
                </c:pt>
                <c:pt idx="4">
                  <c:v>3</c:v>
                </c:pt>
                <c:pt idx="5">
                  <c:v>9</c:v>
                </c:pt>
                <c:pt idx="6">
                  <c:v>14</c:v>
                </c:pt>
                <c:pt idx="7">
                  <c:v>7</c:v>
                </c:pt>
                <c:pt idx="8">
                  <c:v>137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26-4C6A-B3FE-EDD2AE71A519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(&gt;= 60 años)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data1!$H$2:$H$11</c:f>
              <c:numCache>
                <c:formatCode>General</c:formatCode>
                <c:ptCount val="10"/>
                <c:pt idx="0">
                  <c:v>2</c:v>
                </c:pt>
                <c:pt idx="6">
                  <c:v>1</c:v>
                </c:pt>
                <c:pt idx="8">
                  <c:v>41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26-4C6A-B3FE-EDD2AE71A5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4103145971820834"/>
              <c:y val="0.85803148011097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Total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76671425263E-2"/>
          <c:y val="0.91795549974631863"/>
          <c:w val="0.94599392332857479"/>
          <c:h val="8.2044500253681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NÚMERO TOTAL DE CASOS DE MALARIA POR SEXO </a:t>
            </a:r>
          </a:p>
          <a:p>
            <a:pPr>
              <a:defRPr/>
            </a:pPr>
            <a:r>
              <a:rPr lang="en-US"/>
              <a:t>2020 a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824</c:v>
                </c:pt>
                <c:pt idx="1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MALARIA</a:t>
            </a:r>
            <a:r>
              <a:rPr lang="es-CO" b="1" baseline="0"/>
              <a:t> POR TIPO DEL EVENTO</a:t>
            </a:r>
          </a:p>
          <a:p>
            <a:pPr>
              <a:defRPr/>
            </a:pPr>
            <a:r>
              <a:rPr lang="es-CO" sz="1000" b="1" baseline="0"/>
              <a:t>enero 2020 a diciembre 2024</a:t>
            </a:r>
          </a:p>
        </c:rich>
      </c:tx>
      <c:layout>
        <c:manualLayout>
          <c:xMode val="edge"/>
          <c:yMode val="edge"/>
          <c:x val="0.11253627252554319"/>
          <c:y val="3.0004683802018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MALARIA ASOCIADA (FORMAS MIXTAS)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data4!$C$2:$C$11</c:f>
              <c:numCache>
                <c:formatCode>General</c:formatCode>
                <c:ptCount val="10"/>
                <c:pt idx="0">
                  <c:v>1</c:v>
                </c:pt>
                <c:pt idx="6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MALARIA COMPLICADA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data4!$D$2:$D$11</c:f>
              <c:numCache>
                <c:formatCode>General</c:formatCode>
                <c:ptCount val="10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data4!$E$1</c:f>
              <c:strCache>
                <c:ptCount val="1"/>
                <c:pt idx="0">
                  <c:v>MALARIA FALCIPARUM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data4!$E$2:$E$11</c:f>
              <c:numCache>
                <c:formatCode>General</c:formatCode>
                <c:ptCount val="10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data4!$F$1</c:f>
              <c:strCache>
                <c:ptCount val="1"/>
                <c:pt idx="0">
                  <c:v>MALARIA VIVAX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data4!$F$2:$F$11</c:f>
              <c:numCache>
                <c:formatCode>General</c:formatCode>
                <c:ptCount val="10"/>
                <c:pt idx="0">
                  <c:v>13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20</c:v>
                </c:pt>
                <c:pt idx="6">
                  <c:v>15</c:v>
                </c:pt>
                <c:pt idx="7">
                  <c:v>22</c:v>
                </c:pt>
                <c:pt idx="8">
                  <c:v>603</c:v>
                </c:pt>
                <c:pt idx="9">
                  <c:v>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B-49E2-9184-4A018BF4FE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4103145971820834"/>
              <c:y val="0.85803148011097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8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Tipo</a:t>
                </a:r>
                <a:r>
                  <a:rPr lang="es-CO" sz="1200" b="1" baseline="0"/>
                  <a:t> Malaria</a:t>
                </a:r>
                <a:endParaRPr lang="es-CO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76671425263E-2"/>
          <c:y val="0.91795549974631863"/>
          <c:w val="0.94599392332857479"/>
          <c:h val="8.2044500253681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MALARIA DESDE ENERO 2020 A DICIEMBRE 2024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data5!$A$1:$BH$1</c:f>
              <c:strCache>
                <c:ptCount val="60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</c:strCache>
            </c:strRef>
          </c:cat>
          <c:val>
            <c:numRef>
              <c:f>data5!$A$2:$BH$2</c:f>
              <c:numCache>
                <c:formatCode>General</c:formatCode>
                <c:ptCount val="6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4</c:v>
                </c:pt>
                <c:pt idx="34">
                  <c:v>4</c:v>
                </c:pt>
                <c:pt idx="35">
                  <c:v>13</c:v>
                </c:pt>
                <c:pt idx="36">
                  <c:v>5</c:v>
                </c:pt>
                <c:pt idx="37">
                  <c:v>2</c:v>
                </c:pt>
                <c:pt idx="38">
                  <c:v>8</c:v>
                </c:pt>
                <c:pt idx="39">
                  <c:v>4</c:v>
                </c:pt>
                <c:pt idx="40">
                  <c:v>5</c:v>
                </c:pt>
                <c:pt idx="41">
                  <c:v>1</c:v>
                </c:pt>
                <c:pt idx="42">
                  <c:v>8</c:v>
                </c:pt>
                <c:pt idx="43">
                  <c:v>5</c:v>
                </c:pt>
                <c:pt idx="44">
                  <c:v>3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8</c:v>
                </c:pt>
                <c:pt idx="49">
                  <c:v>3</c:v>
                </c:pt>
                <c:pt idx="50">
                  <c:v>10</c:v>
                </c:pt>
                <c:pt idx="51">
                  <c:v>95</c:v>
                </c:pt>
                <c:pt idx="52">
                  <c:v>235</c:v>
                </c:pt>
                <c:pt idx="53">
                  <c:v>296</c:v>
                </c:pt>
                <c:pt idx="54">
                  <c:v>204</c:v>
                </c:pt>
                <c:pt idx="55">
                  <c:v>134</c:v>
                </c:pt>
                <c:pt idx="56">
                  <c:v>87</c:v>
                </c:pt>
                <c:pt idx="57">
                  <c:v>103</c:v>
                </c:pt>
                <c:pt idx="58">
                  <c:v>130</c:v>
                </c:pt>
                <c:pt idx="59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MALARIA </a:t>
            </a:r>
            <a:r>
              <a:rPr lang="es-CO" sz="1200" b="1" baseline="0"/>
              <a:t>POR ETNIA</a:t>
            </a:r>
          </a:p>
          <a:p>
            <a:pPr>
              <a:defRPr/>
            </a:pPr>
            <a:r>
              <a:rPr lang="es-CO" sz="1000" b="1" baseline="0"/>
              <a:t>enero 2020 a diciembre 2024</a:t>
            </a:r>
          </a:p>
        </c:rich>
      </c:tx>
      <c:layout>
        <c:manualLayout>
          <c:xMode val="edge"/>
          <c:yMode val="edge"/>
          <c:x val="0.31661551096342078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data6!$C$1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data6!$C$2:$C$11</c:f>
              <c:numCache>
                <c:formatCode>General</c:formatCode>
                <c:ptCount val="10"/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594</c:v>
                </c:pt>
                <c:pt idx="9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03-403F-BCE2-1CC40EBB8D2A}"/>
            </c:ext>
          </c:extLst>
        </c:ser>
        <c:ser>
          <c:idx val="1"/>
          <c:order val="1"/>
          <c:tx>
            <c:strRef>
              <c:f>data6!$D$1</c:f>
              <c:strCache>
                <c:ptCount val="1"/>
                <c:pt idx="0">
                  <c:v>Negro, mulato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data6!$D$2:$D$11</c:f>
              <c:numCache>
                <c:formatCode>General</c:formatCode>
                <c:ptCount val="10"/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03-403F-BCE2-1CC40EBB8D2A}"/>
            </c:ext>
          </c:extLst>
        </c:ser>
        <c:ser>
          <c:idx val="2"/>
          <c:order val="2"/>
          <c:tx>
            <c:strRef>
              <c:f>data6!$E$1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data6!$E$2:$E$11</c:f>
              <c:numCache>
                <c:formatCode>General</c:formatCode>
                <c:ptCount val="10"/>
                <c:pt idx="0">
                  <c:v>15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9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52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03-403F-BCE2-1CC40EBB8D2A}"/>
            </c:ext>
          </c:extLst>
        </c:ser>
        <c:ser>
          <c:idx val="3"/>
          <c:order val="3"/>
          <c:tx>
            <c:strRef>
              <c:f>data6!$F$1</c:f>
              <c:strCache>
                <c:ptCount val="1"/>
                <c:pt idx="0">
                  <c:v>Raizal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data6!$F$2:$F$11</c:f>
              <c:numCache>
                <c:formatCode>General</c:formatCode>
                <c:ptCount val="10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E-418F-8AD2-B265C3B6F0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800"/>
          <c:min val="-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Etnia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752490718912723"/>
          <c:y val="0.93553319459045825"/>
          <c:w val="0.30101881771758232"/>
          <c:h val="6.1308331009032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80961</xdr:colOff>
      <xdr:row>19</xdr:row>
      <xdr:rowOff>185737</xdr:rowOff>
    </xdr:from>
    <xdr:to>
      <xdr:col>8</xdr:col>
      <xdr:colOff>47626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1DDE8E-3486-49B5-BD19-6CE5AB37B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19</xdr:row>
      <xdr:rowOff>185737</xdr:rowOff>
    </xdr:from>
    <xdr:to>
      <xdr:col>9</xdr:col>
      <xdr:colOff>9524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19</xdr:row>
      <xdr:rowOff>76200</xdr:rowOff>
    </xdr:from>
    <xdr:to>
      <xdr:col>11</xdr:col>
      <xdr:colOff>704850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FA3E5-64A3-4B1F-8FAE-18946693A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4" sqref="B4"/>
    </sheetView>
  </sheetViews>
  <sheetFormatPr baseColWidth="10" defaultColWidth="14.42578125" defaultRowHeight="15" customHeight="1"/>
  <sheetData>
    <row r="1" spans="1:2">
      <c r="A1" s="1" t="s">
        <v>13</v>
      </c>
      <c r="B1" s="1" t="s">
        <v>24</v>
      </c>
    </row>
    <row r="2" spans="1:2">
      <c r="A2" s="1" t="s">
        <v>14</v>
      </c>
      <c r="B2" s="1" t="s">
        <v>112</v>
      </c>
    </row>
    <row r="3" spans="1:2">
      <c r="A3" s="1" t="s">
        <v>0</v>
      </c>
      <c r="B3" s="1" t="s">
        <v>143</v>
      </c>
    </row>
    <row r="4" spans="1:2">
      <c r="A4" s="1" t="s">
        <v>15</v>
      </c>
      <c r="B4" s="1" t="s">
        <v>25</v>
      </c>
    </row>
    <row r="5" spans="1:2">
      <c r="A5" s="1" t="s">
        <v>1</v>
      </c>
      <c r="B5" s="5" t="s">
        <v>26</v>
      </c>
    </row>
    <row r="6" spans="1:2">
      <c r="A6" t="s">
        <v>2</v>
      </c>
      <c r="B6" s="1" t="s">
        <v>78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FABC-A8A8-4C77-AC9A-55F50E0BDFD4}">
  <dimension ref="A1:O1003"/>
  <sheetViews>
    <sheetView topLeftCell="A7" workbookViewId="0">
      <selection activeCell="B17" sqref="B17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8" width="12.42578125" customWidth="1"/>
    <col min="9" max="12" width="9.140625" customWidth="1"/>
    <col min="13" max="25" width="10.7109375" customWidth="1"/>
  </cols>
  <sheetData>
    <row r="1" spans="1:15">
      <c r="A1" s="7" t="s">
        <v>3</v>
      </c>
      <c r="B1" s="7" t="s">
        <v>27</v>
      </c>
      <c r="C1" s="15" t="s">
        <v>79</v>
      </c>
      <c r="D1" s="15" t="s">
        <v>80</v>
      </c>
      <c r="E1" s="15" t="s">
        <v>81</v>
      </c>
      <c r="F1" s="15" t="s">
        <v>96</v>
      </c>
      <c r="G1" s="15" t="s">
        <v>95</v>
      </c>
      <c r="H1" s="15" t="s">
        <v>97</v>
      </c>
      <c r="I1" s="7" t="s">
        <v>4</v>
      </c>
      <c r="O1" s="2"/>
    </row>
    <row r="2" spans="1:15">
      <c r="A2" s="10">
        <v>2020</v>
      </c>
      <c r="B2" s="16" t="s">
        <v>28</v>
      </c>
      <c r="C2" s="9"/>
      <c r="D2" s="9"/>
      <c r="E2" s="9"/>
      <c r="F2" s="9">
        <v>4</v>
      </c>
      <c r="G2" s="9">
        <v>9</v>
      </c>
      <c r="H2" s="9">
        <v>2</v>
      </c>
      <c r="I2" s="9">
        <f t="shared" ref="I2:I11" si="0">SUM(C2:H2)</f>
        <v>15</v>
      </c>
    </row>
    <row r="3" spans="1:15">
      <c r="A3" s="10">
        <v>2020</v>
      </c>
      <c r="B3" s="16" t="s">
        <v>29</v>
      </c>
      <c r="C3" s="9"/>
      <c r="D3" s="9"/>
      <c r="E3" s="9"/>
      <c r="F3" s="9">
        <v>2</v>
      </c>
      <c r="G3" s="9">
        <v>2</v>
      </c>
      <c r="H3" s="9"/>
      <c r="I3" s="9">
        <f t="shared" si="0"/>
        <v>4</v>
      </c>
    </row>
    <row r="4" spans="1:15">
      <c r="A4" s="10">
        <v>2021</v>
      </c>
      <c r="B4" s="16" t="s">
        <v>28</v>
      </c>
      <c r="C4" s="9"/>
      <c r="D4" s="9"/>
      <c r="E4" s="9"/>
      <c r="F4" s="9">
        <v>1</v>
      </c>
      <c r="G4" s="9">
        <v>5</v>
      </c>
      <c r="H4" s="9"/>
      <c r="I4" s="9">
        <f t="shared" si="0"/>
        <v>6</v>
      </c>
    </row>
    <row r="5" spans="1:15">
      <c r="A5" s="10">
        <v>2021</v>
      </c>
      <c r="B5" s="16" t="s">
        <v>29</v>
      </c>
      <c r="C5" s="9"/>
      <c r="D5" s="9">
        <v>1</v>
      </c>
      <c r="E5" s="9"/>
      <c r="F5" s="9">
        <v>3</v>
      </c>
      <c r="G5" s="9"/>
      <c r="H5" s="9"/>
      <c r="I5" s="9">
        <f t="shared" si="0"/>
        <v>4</v>
      </c>
    </row>
    <row r="6" spans="1:15">
      <c r="A6" s="10">
        <v>2022</v>
      </c>
      <c r="B6" s="16" t="s">
        <v>28</v>
      </c>
      <c r="C6" s="9"/>
      <c r="D6" s="9"/>
      <c r="E6" s="9"/>
      <c r="F6" s="9">
        <v>6</v>
      </c>
      <c r="G6" s="9">
        <v>3</v>
      </c>
      <c r="H6" s="9"/>
      <c r="I6" s="9">
        <f t="shared" si="0"/>
        <v>9</v>
      </c>
    </row>
    <row r="7" spans="1:15">
      <c r="A7" s="10">
        <v>2022</v>
      </c>
      <c r="B7" s="16" t="s">
        <v>29</v>
      </c>
      <c r="C7" s="9"/>
      <c r="D7" s="9">
        <v>2</v>
      </c>
      <c r="E7" s="9"/>
      <c r="F7" s="9">
        <v>12</v>
      </c>
      <c r="G7" s="9">
        <v>9</v>
      </c>
      <c r="H7" s="9"/>
      <c r="I7" s="9">
        <f t="shared" si="0"/>
        <v>23</v>
      </c>
    </row>
    <row r="8" spans="1:15">
      <c r="A8" s="10">
        <v>2023</v>
      </c>
      <c r="B8" s="16" t="s">
        <v>28</v>
      </c>
      <c r="C8" s="9"/>
      <c r="D8" s="9"/>
      <c r="E8" s="9">
        <v>1</v>
      </c>
      <c r="F8" s="9">
        <v>9</v>
      </c>
      <c r="G8" s="9">
        <v>14</v>
      </c>
      <c r="H8" s="9">
        <v>1</v>
      </c>
      <c r="I8" s="9">
        <f t="shared" si="0"/>
        <v>25</v>
      </c>
    </row>
    <row r="9" spans="1:15">
      <c r="A9" s="10">
        <v>2023</v>
      </c>
      <c r="B9" s="16" t="s">
        <v>29</v>
      </c>
      <c r="C9" s="9">
        <v>2</v>
      </c>
      <c r="D9" s="9">
        <v>1</v>
      </c>
      <c r="E9" s="9">
        <v>2</v>
      </c>
      <c r="F9" s="9">
        <v>18</v>
      </c>
      <c r="G9" s="9">
        <v>7</v>
      </c>
      <c r="H9" s="9"/>
      <c r="I9" s="9">
        <f t="shared" si="0"/>
        <v>30</v>
      </c>
    </row>
    <row r="10" spans="1:15">
      <c r="A10" s="10">
        <v>2024</v>
      </c>
      <c r="B10" s="16" t="s">
        <v>28</v>
      </c>
      <c r="C10" s="9">
        <v>87</v>
      </c>
      <c r="D10" s="9">
        <v>137</v>
      </c>
      <c r="E10" s="9">
        <v>128</v>
      </c>
      <c r="F10" s="9">
        <v>116</v>
      </c>
      <c r="G10" s="9">
        <v>137</v>
      </c>
      <c r="H10" s="9">
        <v>41</v>
      </c>
      <c r="I10" s="9">
        <f t="shared" si="0"/>
        <v>646</v>
      </c>
    </row>
    <row r="11" spans="1:15">
      <c r="A11" s="10">
        <v>2024</v>
      </c>
      <c r="B11" s="16" t="s">
        <v>29</v>
      </c>
      <c r="C11" s="9">
        <v>126</v>
      </c>
      <c r="D11" s="9">
        <v>158</v>
      </c>
      <c r="E11" s="9">
        <v>145</v>
      </c>
      <c r="F11" s="9">
        <v>162</v>
      </c>
      <c r="G11" s="9">
        <v>161</v>
      </c>
      <c r="H11" s="9">
        <v>20</v>
      </c>
      <c r="I11" s="9">
        <f t="shared" si="0"/>
        <v>772</v>
      </c>
    </row>
    <row r="12" spans="1:15">
      <c r="A12" s="10" t="s">
        <v>20</v>
      </c>
      <c r="B12" s="10"/>
      <c r="C12" s="9">
        <f>SUM(C2:C11)</f>
        <v>215</v>
      </c>
      <c r="D12" s="9">
        <f t="shared" ref="D12:I12" si="1">SUM(D2:D11)</f>
        <v>299</v>
      </c>
      <c r="E12" s="9">
        <f t="shared" si="1"/>
        <v>276</v>
      </c>
      <c r="F12" s="9">
        <f t="shared" si="1"/>
        <v>333</v>
      </c>
      <c r="G12" s="9">
        <f t="shared" si="1"/>
        <v>347</v>
      </c>
      <c r="H12" s="9">
        <f t="shared" si="1"/>
        <v>64</v>
      </c>
      <c r="I12" s="9">
        <f t="shared" si="1"/>
        <v>1534</v>
      </c>
    </row>
    <row r="14" spans="1:15">
      <c r="A14" s="1" t="s">
        <v>0</v>
      </c>
      <c r="B14" s="1" t="s">
        <v>144</v>
      </c>
      <c r="C14" s="1"/>
      <c r="D14" s="1"/>
      <c r="E14" s="1"/>
      <c r="F14" s="1"/>
    </row>
    <row r="15" spans="1:15">
      <c r="A15" s="1" t="s">
        <v>14</v>
      </c>
      <c r="B15" s="1" t="s">
        <v>145</v>
      </c>
      <c r="C15" s="1"/>
      <c r="D15" s="1"/>
      <c r="E15" s="1"/>
      <c r="F15" s="1"/>
    </row>
    <row r="16" spans="1:15">
      <c r="A16" s="1" t="s">
        <v>5</v>
      </c>
      <c r="B16" s="1" t="s">
        <v>146</v>
      </c>
      <c r="C16" s="1"/>
      <c r="D16" s="1"/>
      <c r="E16" s="1"/>
      <c r="F16" s="1"/>
    </row>
    <row r="17" spans="1:6">
      <c r="A17" s="1" t="s">
        <v>7</v>
      </c>
      <c r="B17" s="1" t="s">
        <v>23</v>
      </c>
      <c r="C17" s="1"/>
      <c r="D17" s="1"/>
      <c r="E17" s="1"/>
      <c r="F17" s="1"/>
    </row>
    <row r="18" spans="1:6" ht="15" customHeight="1">
      <c r="A18" s="1"/>
      <c r="B18" s="1"/>
      <c r="C18" s="1"/>
      <c r="D18" s="1"/>
      <c r="E18" s="1"/>
      <c r="F18" s="1"/>
    </row>
    <row r="19" spans="1:6" ht="15" customHeight="1">
      <c r="A19" s="1" t="s">
        <v>10</v>
      </c>
      <c r="B19" s="1" t="s">
        <v>16</v>
      </c>
      <c r="C19" s="1"/>
      <c r="D19" s="1"/>
      <c r="E19" s="1"/>
      <c r="F19" s="1"/>
    </row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3"/>
  <sheetViews>
    <sheetView topLeftCell="A101" workbookViewId="0">
      <selection activeCell="E107" sqref="E107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17.42578125" customWidth="1"/>
    <col min="4" max="26" width="10.7109375" customWidth="1"/>
  </cols>
  <sheetData>
    <row r="1" spans="1:5">
      <c r="A1" s="3" t="s">
        <v>17</v>
      </c>
      <c r="B1" s="3" t="s">
        <v>3</v>
      </c>
      <c r="C1" s="3" t="s">
        <v>118</v>
      </c>
      <c r="D1" s="3" t="s">
        <v>8</v>
      </c>
      <c r="E1" s="3" t="s">
        <v>9</v>
      </c>
    </row>
    <row r="2" spans="1:5">
      <c r="A2" s="17" t="s">
        <v>82</v>
      </c>
      <c r="B2" s="17">
        <v>2020</v>
      </c>
      <c r="C2" s="17" t="s">
        <v>114</v>
      </c>
      <c r="D2" s="17" t="s">
        <v>83</v>
      </c>
      <c r="E2" s="17">
        <v>1</v>
      </c>
    </row>
    <row r="3" spans="1:5">
      <c r="A3" s="17" t="s">
        <v>82</v>
      </c>
      <c r="B3" s="17">
        <v>2020</v>
      </c>
      <c r="C3" s="17" t="s">
        <v>116</v>
      </c>
      <c r="D3" s="17" t="s">
        <v>83</v>
      </c>
      <c r="E3" s="17">
        <v>3</v>
      </c>
    </row>
    <row r="4" spans="1:5">
      <c r="A4" s="17" t="s">
        <v>82</v>
      </c>
      <c r="B4" s="17">
        <v>2021</v>
      </c>
      <c r="C4" s="17" t="s">
        <v>116</v>
      </c>
      <c r="D4" s="17" t="s">
        <v>83</v>
      </c>
      <c r="E4" s="17">
        <v>2</v>
      </c>
    </row>
    <row r="5" spans="1:5">
      <c r="A5" s="17" t="s">
        <v>82</v>
      </c>
      <c r="B5" s="17">
        <v>2022</v>
      </c>
      <c r="C5" s="17" t="s">
        <v>116</v>
      </c>
      <c r="D5" s="17" t="s">
        <v>83</v>
      </c>
      <c r="E5" s="17">
        <v>1</v>
      </c>
    </row>
    <row r="6" spans="1:5">
      <c r="A6" s="17" t="s">
        <v>82</v>
      </c>
      <c r="B6" s="17">
        <v>2023</v>
      </c>
      <c r="C6" s="17" t="s">
        <v>116</v>
      </c>
      <c r="D6" s="17" t="s">
        <v>83</v>
      </c>
      <c r="E6" s="17">
        <v>2</v>
      </c>
    </row>
    <row r="7" spans="1:5">
      <c r="A7" s="17" t="s">
        <v>82</v>
      </c>
      <c r="B7" s="17">
        <v>2024</v>
      </c>
      <c r="C7" s="17" t="s">
        <v>114</v>
      </c>
      <c r="D7" s="17" t="s">
        <v>83</v>
      </c>
      <c r="E7" s="17">
        <v>2</v>
      </c>
    </row>
    <row r="8" spans="1:5">
      <c r="A8" s="17" t="s">
        <v>82</v>
      </c>
      <c r="B8" s="17">
        <v>2024</v>
      </c>
      <c r="C8" s="17" t="s">
        <v>115</v>
      </c>
      <c r="D8" s="17" t="s">
        <v>84</v>
      </c>
      <c r="E8" s="17">
        <v>2</v>
      </c>
    </row>
    <row r="9" spans="1:5">
      <c r="A9" s="17" t="s">
        <v>82</v>
      </c>
      <c r="B9" s="17">
        <v>2024</v>
      </c>
      <c r="C9" s="17" t="s">
        <v>116</v>
      </c>
      <c r="D9" s="17" t="s">
        <v>83</v>
      </c>
      <c r="E9" s="17">
        <v>1</v>
      </c>
    </row>
    <row r="10" spans="1:5">
      <c r="A10" s="17" t="s">
        <v>98</v>
      </c>
      <c r="B10" s="17">
        <v>2022</v>
      </c>
      <c r="C10" s="17" t="s">
        <v>116</v>
      </c>
      <c r="D10" s="17" t="s">
        <v>83</v>
      </c>
      <c r="E10" s="17">
        <v>1</v>
      </c>
    </row>
    <row r="11" spans="1:5">
      <c r="A11" s="17" t="s">
        <v>85</v>
      </c>
      <c r="B11" s="17">
        <v>2022</v>
      </c>
      <c r="C11" s="17" t="s">
        <v>116</v>
      </c>
      <c r="D11" s="17" t="s">
        <v>84</v>
      </c>
      <c r="E11" s="17">
        <v>1</v>
      </c>
    </row>
    <row r="12" spans="1:5">
      <c r="A12" s="17" t="s">
        <v>85</v>
      </c>
      <c r="B12" s="17">
        <v>2022</v>
      </c>
      <c r="C12" s="17" t="s">
        <v>116</v>
      </c>
      <c r="D12" s="17" t="s">
        <v>83</v>
      </c>
      <c r="E12" s="17">
        <v>1</v>
      </c>
    </row>
    <row r="13" spans="1:5">
      <c r="A13" s="17" t="s">
        <v>86</v>
      </c>
      <c r="B13" s="17">
        <v>2020</v>
      </c>
      <c r="C13" s="17" t="s">
        <v>116</v>
      </c>
      <c r="D13" s="17" t="s">
        <v>83</v>
      </c>
      <c r="E13" s="17">
        <v>1</v>
      </c>
    </row>
    <row r="14" spans="1:5">
      <c r="A14" s="17" t="s">
        <v>86</v>
      </c>
      <c r="B14" s="17">
        <v>2021</v>
      </c>
      <c r="C14" s="17" t="s">
        <v>116</v>
      </c>
      <c r="D14" s="17" t="s">
        <v>83</v>
      </c>
      <c r="E14" s="17">
        <v>2</v>
      </c>
    </row>
    <row r="15" spans="1:5">
      <c r="A15" s="17" t="s">
        <v>86</v>
      </c>
      <c r="B15" s="17">
        <v>2022</v>
      </c>
      <c r="C15" s="17" t="s">
        <v>116</v>
      </c>
      <c r="D15" s="17" t="s">
        <v>83</v>
      </c>
      <c r="E15" s="17">
        <v>3</v>
      </c>
    </row>
    <row r="16" spans="1:5">
      <c r="A16" s="17" t="s">
        <v>86</v>
      </c>
      <c r="B16" s="17">
        <v>2023</v>
      </c>
      <c r="C16" s="17" t="s">
        <v>114</v>
      </c>
      <c r="D16" s="17" t="s">
        <v>83</v>
      </c>
      <c r="E16" s="17">
        <v>1</v>
      </c>
    </row>
    <row r="17" spans="1:5">
      <c r="A17" s="17" t="s">
        <v>86</v>
      </c>
      <c r="B17" s="17">
        <v>2023</v>
      </c>
      <c r="C17" s="17" t="s">
        <v>115</v>
      </c>
      <c r="D17" s="17" t="s">
        <v>83</v>
      </c>
      <c r="E17" s="17">
        <v>1</v>
      </c>
    </row>
    <row r="18" spans="1:5">
      <c r="A18" s="17" t="s">
        <v>86</v>
      </c>
      <c r="B18" s="17">
        <v>2023</v>
      </c>
      <c r="C18" s="17" t="s">
        <v>116</v>
      </c>
      <c r="D18" s="17" t="s">
        <v>83</v>
      </c>
      <c r="E18" s="17">
        <v>3</v>
      </c>
    </row>
    <row r="19" spans="1:5">
      <c r="A19" s="17" t="s">
        <v>86</v>
      </c>
      <c r="B19" s="17">
        <v>2024</v>
      </c>
      <c r="C19" s="17" t="s">
        <v>116</v>
      </c>
      <c r="D19" s="17" t="s">
        <v>83</v>
      </c>
      <c r="E19" s="17">
        <v>1</v>
      </c>
    </row>
    <row r="20" spans="1:5">
      <c r="A20" s="17" t="s">
        <v>119</v>
      </c>
      <c r="B20" s="17">
        <v>2023</v>
      </c>
      <c r="C20" s="17" t="s">
        <v>116</v>
      </c>
      <c r="D20" s="17" t="s">
        <v>83</v>
      </c>
      <c r="E20" s="17">
        <v>1</v>
      </c>
    </row>
    <row r="21" spans="1:5">
      <c r="A21" s="17" t="s">
        <v>119</v>
      </c>
      <c r="B21" s="17">
        <v>2024</v>
      </c>
      <c r="C21" s="17" t="s">
        <v>114</v>
      </c>
      <c r="D21" s="17" t="s">
        <v>84</v>
      </c>
      <c r="E21" s="17">
        <v>1</v>
      </c>
    </row>
    <row r="22" spans="1:5">
      <c r="A22" s="17" t="s">
        <v>135</v>
      </c>
      <c r="B22" s="17">
        <v>2024</v>
      </c>
      <c r="C22" s="17" t="s">
        <v>116</v>
      </c>
      <c r="D22" s="17" t="s">
        <v>84</v>
      </c>
      <c r="E22" s="17">
        <v>1</v>
      </c>
    </row>
    <row r="23" spans="1:5">
      <c r="A23" s="17" t="s">
        <v>120</v>
      </c>
      <c r="B23" s="17">
        <v>2023</v>
      </c>
      <c r="C23" s="17" t="s">
        <v>116</v>
      </c>
      <c r="D23" s="17" t="s">
        <v>83</v>
      </c>
      <c r="E23" s="17">
        <v>1</v>
      </c>
    </row>
    <row r="24" spans="1:5">
      <c r="A24" s="17" t="s">
        <v>99</v>
      </c>
      <c r="B24" s="17">
        <v>2020</v>
      </c>
      <c r="C24" s="17" t="s">
        <v>116</v>
      </c>
      <c r="D24" s="17" t="s">
        <v>83</v>
      </c>
      <c r="E24" s="17">
        <v>1</v>
      </c>
    </row>
    <row r="25" spans="1:5">
      <c r="A25" s="17" t="s">
        <v>99</v>
      </c>
      <c r="B25" s="17">
        <v>2023</v>
      </c>
      <c r="C25" s="17" t="s">
        <v>116</v>
      </c>
      <c r="D25" s="17" t="s">
        <v>83</v>
      </c>
      <c r="E25" s="17">
        <v>1</v>
      </c>
    </row>
    <row r="26" spans="1:5">
      <c r="A26" s="17" t="s">
        <v>87</v>
      </c>
      <c r="B26" s="17">
        <v>2020</v>
      </c>
      <c r="C26" s="17" t="s">
        <v>116</v>
      </c>
      <c r="D26" s="17" t="s">
        <v>83</v>
      </c>
      <c r="E26" s="17">
        <v>1</v>
      </c>
    </row>
    <row r="27" spans="1:5">
      <c r="A27" s="17" t="s">
        <v>87</v>
      </c>
      <c r="B27" s="17">
        <v>2022</v>
      </c>
      <c r="C27" s="17" t="s">
        <v>114</v>
      </c>
      <c r="D27" s="17" t="s">
        <v>83</v>
      </c>
      <c r="E27" s="17">
        <v>1</v>
      </c>
    </row>
    <row r="28" spans="1:5">
      <c r="A28" s="17" t="s">
        <v>87</v>
      </c>
      <c r="B28" s="17">
        <v>2022</v>
      </c>
      <c r="C28" s="17" t="s">
        <v>116</v>
      </c>
      <c r="D28" s="17" t="s">
        <v>84</v>
      </c>
      <c r="E28" s="17">
        <v>1</v>
      </c>
    </row>
    <row r="29" spans="1:5">
      <c r="A29" s="17" t="s">
        <v>87</v>
      </c>
      <c r="B29" s="17">
        <v>2024</v>
      </c>
      <c r="C29" s="17" t="s">
        <v>113</v>
      </c>
      <c r="D29" s="17" t="s">
        <v>84</v>
      </c>
      <c r="E29" s="17">
        <v>1</v>
      </c>
    </row>
    <row r="30" spans="1:5">
      <c r="A30" s="17" t="s">
        <v>87</v>
      </c>
      <c r="B30" s="17">
        <v>2024</v>
      </c>
      <c r="C30" s="17" t="s">
        <v>113</v>
      </c>
      <c r="D30" s="17" t="s">
        <v>83</v>
      </c>
      <c r="E30" s="17">
        <v>1</v>
      </c>
    </row>
    <row r="31" spans="1:5">
      <c r="A31" s="17" t="s">
        <v>87</v>
      </c>
      <c r="B31" s="17">
        <v>2024</v>
      </c>
      <c r="C31" s="17" t="s">
        <v>114</v>
      </c>
      <c r="D31" s="17" t="s">
        <v>84</v>
      </c>
      <c r="E31" s="17">
        <v>22</v>
      </c>
    </row>
    <row r="32" spans="1:5">
      <c r="A32" s="17" t="s">
        <v>87</v>
      </c>
      <c r="B32" s="17">
        <v>2024</v>
      </c>
      <c r="C32" s="17" t="s">
        <v>114</v>
      </c>
      <c r="D32" s="17" t="s">
        <v>83</v>
      </c>
      <c r="E32" s="17">
        <v>19</v>
      </c>
    </row>
    <row r="33" spans="1:5">
      <c r="A33" s="17" t="s">
        <v>87</v>
      </c>
      <c r="B33" s="17">
        <v>2024</v>
      </c>
      <c r="C33" s="17" t="s">
        <v>116</v>
      </c>
      <c r="D33" s="17" t="s">
        <v>84</v>
      </c>
      <c r="E33" s="17">
        <v>772</v>
      </c>
    </row>
    <row r="34" spans="1:5">
      <c r="A34" s="17" t="s">
        <v>87</v>
      </c>
      <c r="B34" s="17">
        <v>2024</v>
      </c>
      <c r="C34" s="17" t="s">
        <v>116</v>
      </c>
      <c r="D34" s="17" t="s">
        <v>83</v>
      </c>
      <c r="E34" s="17">
        <v>571</v>
      </c>
    </row>
    <row r="35" spans="1:5">
      <c r="A35" s="17" t="s">
        <v>100</v>
      </c>
      <c r="B35" s="17">
        <v>2023</v>
      </c>
      <c r="C35" s="17" t="s">
        <v>114</v>
      </c>
      <c r="D35" s="17" t="s">
        <v>83</v>
      </c>
      <c r="E35" s="17">
        <v>1</v>
      </c>
    </row>
    <row r="36" spans="1:5">
      <c r="A36" s="17" t="s">
        <v>88</v>
      </c>
      <c r="B36" s="17">
        <v>2020</v>
      </c>
      <c r="C36" s="17" t="s">
        <v>115</v>
      </c>
      <c r="D36" s="17" t="s">
        <v>83</v>
      </c>
      <c r="E36" s="17">
        <v>1</v>
      </c>
    </row>
    <row r="37" spans="1:5">
      <c r="A37" s="17" t="s">
        <v>88</v>
      </c>
      <c r="B37" s="17">
        <v>2021</v>
      </c>
      <c r="C37" s="17" t="s">
        <v>116</v>
      </c>
      <c r="D37" s="17" t="s">
        <v>84</v>
      </c>
      <c r="E37" s="17">
        <v>1</v>
      </c>
    </row>
    <row r="38" spans="1:5">
      <c r="A38" s="17" t="s">
        <v>88</v>
      </c>
      <c r="B38" s="17">
        <v>2022</v>
      </c>
      <c r="C38" s="17" t="s">
        <v>115</v>
      </c>
      <c r="D38" s="17" t="s">
        <v>83</v>
      </c>
      <c r="E38" s="17">
        <v>1</v>
      </c>
    </row>
    <row r="39" spans="1:5">
      <c r="A39" s="17" t="s">
        <v>88</v>
      </c>
      <c r="B39" s="17">
        <v>2022</v>
      </c>
      <c r="C39" s="17" t="s">
        <v>116</v>
      </c>
      <c r="D39" s="17" t="s">
        <v>83</v>
      </c>
      <c r="E39" s="17">
        <v>3</v>
      </c>
    </row>
    <row r="40" spans="1:5">
      <c r="A40" s="17" t="s">
        <v>88</v>
      </c>
      <c r="B40" s="17">
        <v>2023</v>
      </c>
      <c r="C40" s="17" t="s">
        <v>114</v>
      </c>
      <c r="D40" s="17" t="s">
        <v>83</v>
      </c>
      <c r="E40" s="17">
        <v>1</v>
      </c>
    </row>
    <row r="41" spans="1:5">
      <c r="A41" s="17" t="s">
        <v>88</v>
      </c>
      <c r="B41" s="17">
        <v>2023</v>
      </c>
      <c r="C41" s="17" t="s">
        <v>115</v>
      </c>
      <c r="D41" s="17" t="s">
        <v>83</v>
      </c>
      <c r="E41" s="17">
        <v>1</v>
      </c>
    </row>
    <row r="42" spans="1:5">
      <c r="A42" s="17" t="s">
        <v>88</v>
      </c>
      <c r="B42" s="17">
        <v>2023</v>
      </c>
      <c r="C42" s="17" t="s">
        <v>116</v>
      </c>
      <c r="D42" s="17" t="s">
        <v>83</v>
      </c>
      <c r="E42" s="17">
        <v>1</v>
      </c>
    </row>
    <row r="43" spans="1:5">
      <c r="A43" s="17" t="s">
        <v>88</v>
      </c>
      <c r="B43" s="17">
        <v>2024</v>
      </c>
      <c r="C43" s="17" t="s">
        <v>114</v>
      </c>
      <c r="D43" s="17" t="s">
        <v>83</v>
      </c>
      <c r="E43" s="17">
        <v>1</v>
      </c>
    </row>
    <row r="44" spans="1:5">
      <c r="A44" s="17" t="s">
        <v>88</v>
      </c>
      <c r="B44" s="17">
        <v>2024</v>
      </c>
      <c r="C44" s="17" t="s">
        <v>115</v>
      </c>
      <c r="D44" s="17" t="s">
        <v>83</v>
      </c>
      <c r="E44" s="17">
        <v>1</v>
      </c>
    </row>
    <row r="45" spans="1:5">
      <c r="A45" s="17" t="s">
        <v>88</v>
      </c>
      <c r="B45" s="17">
        <v>2024</v>
      </c>
      <c r="C45" s="17" t="s">
        <v>116</v>
      </c>
      <c r="D45" s="17" t="s">
        <v>83</v>
      </c>
      <c r="E45" s="17">
        <v>1</v>
      </c>
    </row>
    <row r="46" spans="1:5">
      <c r="A46" s="17" t="s">
        <v>121</v>
      </c>
      <c r="B46" s="17">
        <v>2023</v>
      </c>
      <c r="C46" s="17" t="s">
        <v>116</v>
      </c>
      <c r="D46" s="17" t="s">
        <v>83</v>
      </c>
      <c r="E46" s="17">
        <v>1</v>
      </c>
    </row>
    <row r="47" spans="1:5">
      <c r="A47" s="17" t="s">
        <v>89</v>
      </c>
      <c r="B47" s="17">
        <v>2023</v>
      </c>
      <c r="C47" s="17" t="s">
        <v>116</v>
      </c>
      <c r="D47" s="17" t="s">
        <v>84</v>
      </c>
      <c r="E47" s="17">
        <v>1</v>
      </c>
    </row>
    <row r="48" spans="1:5">
      <c r="A48" s="17" t="s">
        <v>90</v>
      </c>
      <c r="B48" s="17">
        <v>2023</v>
      </c>
      <c r="C48" s="17" t="s">
        <v>116</v>
      </c>
      <c r="D48" s="17" t="s">
        <v>83</v>
      </c>
      <c r="E48" s="17">
        <v>1</v>
      </c>
    </row>
    <row r="49" spans="1:5">
      <c r="A49" s="17" t="s">
        <v>122</v>
      </c>
      <c r="B49" s="17">
        <v>2023</v>
      </c>
      <c r="C49" s="17" t="s">
        <v>116</v>
      </c>
      <c r="D49" s="17" t="s">
        <v>83</v>
      </c>
      <c r="E49" s="17">
        <v>1</v>
      </c>
    </row>
    <row r="50" spans="1:5">
      <c r="A50" s="17" t="s">
        <v>101</v>
      </c>
      <c r="B50" s="17">
        <v>2021</v>
      </c>
      <c r="C50" s="17" t="s">
        <v>115</v>
      </c>
      <c r="D50" s="17" t="s">
        <v>84</v>
      </c>
      <c r="E50" s="17">
        <v>1</v>
      </c>
    </row>
    <row r="51" spans="1:5">
      <c r="A51" s="17" t="s">
        <v>101</v>
      </c>
      <c r="B51" s="17">
        <v>2021</v>
      </c>
      <c r="C51" s="17" t="s">
        <v>116</v>
      </c>
      <c r="D51" s="17" t="s">
        <v>83</v>
      </c>
      <c r="E51" s="17">
        <v>1</v>
      </c>
    </row>
    <row r="52" spans="1:5">
      <c r="A52" s="17" t="s">
        <v>101</v>
      </c>
      <c r="B52" s="17">
        <v>2022</v>
      </c>
      <c r="C52" s="17" t="s">
        <v>116</v>
      </c>
      <c r="D52" s="17" t="s">
        <v>83</v>
      </c>
      <c r="E52" s="17">
        <v>1</v>
      </c>
    </row>
    <row r="53" spans="1:5">
      <c r="A53" s="17" t="s">
        <v>101</v>
      </c>
      <c r="B53" s="17">
        <v>2024</v>
      </c>
      <c r="C53" s="17" t="s">
        <v>113</v>
      </c>
      <c r="D53" s="17" t="s">
        <v>84</v>
      </c>
      <c r="E53" s="17">
        <v>1</v>
      </c>
    </row>
    <row r="54" spans="1:5">
      <c r="A54" s="17" t="s">
        <v>101</v>
      </c>
      <c r="B54" s="17">
        <v>2024</v>
      </c>
      <c r="C54" s="17" t="s">
        <v>115</v>
      </c>
      <c r="D54" s="17" t="s">
        <v>84</v>
      </c>
      <c r="E54" s="17">
        <v>1</v>
      </c>
    </row>
    <row r="55" spans="1:5">
      <c r="A55" s="17" t="s">
        <v>102</v>
      </c>
      <c r="B55" s="17">
        <v>2020</v>
      </c>
      <c r="C55" s="17" t="s">
        <v>116</v>
      </c>
      <c r="D55" s="17" t="s">
        <v>84</v>
      </c>
      <c r="E55" s="17">
        <v>1</v>
      </c>
    </row>
    <row r="56" spans="1:5">
      <c r="A56" s="17" t="s">
        <v>136</v>
      </c>
      <c r="B56" s="17">
        <v>2024</v>
      </c>
      <c r="C56" s="17" t="s">
        <v>116</v>
      </c>
      <c r="D56" s="17" t="s">
        <v>83</v>
      </c>
      <c r="E56" s="17">
        <v>1</v>
      </c>
    </row>
    <row r="57" spans="1:5">
      <c r="A57" s="17" t="s">
        <v>103</v>
      </c>
      <c r="B57" s="17">
        <v>2023</v>
      </c>
      <c r="C57" s="17" t="s">
        <v>114</v>
      </c>
      <c r="D57" s="17" t="s">
        <v>83</v>
      </c>
      <c r="E57" s="17">
        <v>1</v>
      </c>
    </row>
    <row r="58" spans="1:5">
      <c r="A58" s="17" t="s">
        <v>103</v>
      </c>
      <c r="B58" s="17">
        <v>2023</v>
      </c>
      <c r="C58" s="17" t="s">
        <v>116</v>
      </c>
      <c r="D58" s="17" t="s">
        <v>83</v>
      </c>
      <c r="E58" s="17">
        <v>2</v>
      </c>
    </row>
    <row r="59" spans="1:5">
      <c r="A59" s="17" t="s">
        <v>91</v>
      </c>
      <c r="B59" s="17">
        <v>2023</v>
      </c>
      <c r="C59" s="17" t="s">
        <v>114</v>
      </c>
      <c r="D59" s="17" t="s">
        <v>83</v>
      </c>
      <c r="E59" s="17">
        <v>1</v>
      </c>
    </row>
    <row r="60" spans="1:5">
      <c r="A60" s="17" t="s">
        <v>91</v>
      </c>
      <c r="B60" s="17">
        <v>2023</v>
      </c>
      <c r="C60" s="17" t="s">
        <v>115</v>
      </c>
      <c r="D60" s="17" t="s">
        <v>83</v>
      </c>
      <c r="E60" s="17">
        <v>2</v>
      </c>
    </row>
    <row r="61" spans="1:5">
      <c r="A61" s="17" t="s">
        <v>91</v>
      </c>
      <c r="B61" s="17">
        <v>2023</v>
      </c>
      <c r="C61" s="17" t="s">
        <v>116</v>
      </c>
      <c r="D61" s="17" t="s">
        <v>83</v>
      </c>
      <c r="E61" s="17">
        <v>1</v>
      </c>
    </row>
    <row r="62" spans="1:5">
      <c r="A62" s="17" t="s">
        <v>91</v>
      </c>
      <c r="B62" s="17">
        <v>2024</v>
      </c>
      <c r="C62" s="17" t="s">
        <v>114</v>
      </c>
      <c r="D62" s="17" t="s">
        <v>83</v>
      </c>
      <c r="E62" s="17">
        <v>1</v>
      </c>
    </row>
    <row r="63" spans="1:5">
      <c r="A63" s="17" t="s">
        <v>123</v>
      </c>
      <c r="B63" s="17">
        <v>2023</v>
      </c>
      <c r="C63" s="17" t="s">
        <v>116</v>
      </c>
      <c r="D63" s="17" t="s">
        <v>83</v>
      </c>
      <c r="E63" s="17">
        <v>2</v>
      </c>
    </row>
    <row r="64" spans="1:5">
      <c r="A64" s="17" t="s">
        <v>137</v>
      </c>
      <c r="B64" s="17">
        <v>2024</v>
      </c>
      <c r="C64" s="17" t="s">
        <v>116</v>
      </c>
      <c r="D64" s="17" t="s">
        <v>83</v>
      </c>
      <c r="E64" s="17">
        <v>1</v>
      </c>
    </row>
    <row r="65" spans="1:5">
      <c r="A65" s="17" t="s">
        <v>92</v>
      </c>
      <c r="B65" s="17">
        <v>2020</v>
      </c>
      <c r="C65" s="17" t="s">
        <v>114</v>
      </c>
      <c r="D65" s="17" t="s">
        <v>84</v>
      </c>
      <c r="E65" s="17">
        <v>1</v>
      </c>
    </row>
    <row r="66" spans="1:5">
      <c r="A66" s="17" t="s">
        <v>92</v>
      </c>
      <c r="B66" s="17">
        <v>2020</v>
      </c>
      <c r="C66" s="17" t="s">
        <v>116</v>
      </c>
      <c r="D66" s="17" t="s">
        <v>84</v>
      </c>
      <c r="E66" s="17">
        <v>1</v>
      </c>
    </row>
    <row r="67" spans="1:5">
      <c r="A67" s="17" t="s">
        <v>92</v>
      </c>
      <c r="B67" s="17">
        <v>2020</v>
      </c>
      <c r="C67" s="17" t="s">
        <v>116</v>
      </c>
      <c r="D67" s="17" t="s">
        <v>83</v>
      </c>
      <c r="E67" s="17">
        <v>2</v>
      </c>
    </row>
    <row r="68" spans="1:5">
      <c r="A68" s="17" t="s">
        <v>92</v>
      </c>
      <c r="B68" s="17">
        <v>2022</v>
      </c>
      <c r="C68" s="17" t="s">
        <v>116</v>
      </c>
      <c r="D68" s="17" t="s">
        <v>84</v>
      </c>
      <c r="E68" s="17">
        <v>2</v>
      </c>
    </row>
    <row r="69" spans="1:5">
      <c r="A69" s="17" t="s">
        <v>92</v>
      </c>
      <c r="B69" s="17">
        <v>2023</v>
      </c>
      <c r="C69" s="17" t="s">
        <v>114</v>
      </c>
      <c r="D69" s="17" t="s">
        <v>84</v>
      </c>
      <c r="E69" s="17">
        <v>1</v>
      </c>
    </row>
    <row r="70" spans="1:5">
      <c r="A70" s="17" t="s">
        <v>92</v>
      </c>
      <c r="B70" s="17">
        <v>2023</v>
      </c>
      <c r="C70" s="17" t="s">
        <v>115</v>
      </c>
      <c r="D70" s="17" t="s">
        <v>84</v>
      </c>
      <c r="E70" s="17">
        <v>1</v>
      </c>
    </row>
    <row r="71" spans="1:5">
      <c r="A71" s="17" t="s">
        <v>92</v>
      </c>
      <c r="B71" s="17">
        <v>2023</v>
      </c>
      <c r="C71" s="17" t="s">
        <v>115</v>
      </c>
      <c r="D71" s="17" t="s">
        <v>83</v>
      </c>
      <c r="E71" s="17">
        <v>1</v>
      </c>
    </row>
    <row r="72" spans="1:5">
      <c r="A72" s="17" t="s">
        <v>92</v>
      </c>
      <c r="B72" s="17">
        <v>2023</v>
      </c>
      <c r="C72" s="17" t="s">
        <v>116</v>
      </c>
      <c r="D72" s="17" t="s">
        <v>84</v>
      </c>
      <c r="E72" s="17">
        <v>3</v>
      </c>
    </row>
    <row r="73" spans="1:5">
      <c r="A73" s="17" t="s">
        <v>92</v>
      </c>
      <c r="B73" s="17">
        <v>2023</v>
      </c>
      <c r="C73" s="17" t="s">
        <v>116</v>
      </c>
      <c r="D73" s="17" t="s">
        <v>83</v>
      </c>
      <c r="E73" s="17">
        <v>5</v>
      </c>
    </row>
    <row r="74" spans="1:5">
      <c r="A74" s="18" t="s">
        <v>92</v>
      </c>
      <c r="B74" s="18">
        <v>2024</v>
      </c>
      <c r="C74" s="18" t="s">
        <v>115</v>
      </c>
      <c r="D74" s="18" t="s">
        <v>84</v>
      </c>
      <c r="E74" s="18">
        <v>1</v>
      </c>
    </row>
    <row r="75" spans="1:5">
      <c r="A75" s="18" t="s">
        <v>92</v>
      </c>
      <c r="B75" s="18">
        <v>2024</v>
      </c>
      <c r="C75" s="18" t="s">
        <v>116</v>
      </c>
      <c r="D75" s="18" t="s">
        <v>84</v>
      </c>
      <c r="E75" s="18">
        <v>2</v>
      </c>
    </row>
    <row r="76" spans="1:5">
      <c r="A76" s="18" t="s">
        <v>92</v>
      </c>
      <c r="B76" s="18">
        <v>2024</v>
      </c>
      <c r="C76" s="18" t="s">
        <v>116</v>
      </c>
      <c r="D76" s="18" t="s">
        <v>83</v>
      </c>
      <c r="E76" s="18">
        <v>3</v>
      </c>
    </row>
    <row r="77" spans="1:5">
      <c r="A77" s="18" t="s">
        <v>93</v>
      </c>
      <c r="B77" s="18">
        <v>2021</v>
      </c>
      <c r="C77" s="18" t="s">
        <v>114</v>
      </c>
      <c r="D77" s="18" t="s">
        <v>83</v>
      </c>
      <c r="E77" s="18">
        <v>1</v>
      </c>
    </row>
    <row r="78" spans="1:5">
      <c r="A78" s="18" t="s">
        <v>93</v>
      </c>
      <c r="B78" s="18">
        <v>2023</v>
      </c>
      <c r="C78" s="18" t="s">
        <v>116</v>
      </c>
      <c r="D78" s="18" t="s">
        <v>83</v>
      </c>
      <c r="E78" s="18">
        <v>1</v>
      </c>
    </row>
    <row r="79" spans="1:5">
      <c r="A79" s="18" t="s">
        <v>124</v>
      </c>
      <c r="B79" s="18">
        <v>2022</v>
      </c>
      <c r="C79" s="18" t="s">
        <v>116</v>
      </c>
      <c r="D79" s="18" t="s">
        <v>83</v>
      </c>
      <c r="E79" s="18">
        <v>1</v>
      </c>
    </row>
    <row r="80" spans="1:5">
      <c r="A80" s="18" t="s">
        <v>124</v>
      </c>
      <c r="B80" s="18">
        <v>2023</v>
      </c>
      <c r="C80" s="18" t="s">
        <v>113</v>
      </c>
      <c r="D80" s="18" t="s">
        <v>84</v>
      </c>
      <c r="E80" s="18">
        <v>1</v>
      </c>
    </row>
    <row r="81" spans="1:5">
      <c r="A81" s="18" t="s">
        <v>138</v>
      </c>
      <c r="B81" s="18">
        <v>2024</v>
      </c>
      <c r="C81" s="18" t="s">
        <v>116</v>
      </c>
      <c r="D81" s="18" t="s">
        <v>83</v>
      </c>
      <c r="E81" s="18">
        <v>1</v>
      </c>
    </row>
    <row r="82" spans="1:5">
      <c r="A82" s="18" t="s">
        <v>125</v>
      </c>
      <c r="B82" s="18">
        <v>2023</v>
      </c>
      <c r="C82" s="18" t="s">
        <v>115</v>
      </c>
      <c r="D82" s="18" t="s">
        <v>83</v>
      </c>
      <c r="E82" s="18">
        <v>1</v>
      </c>
    </row>
    <row r="83" spans="1:5">
      <c r="A83" s="18" t="s">
        <v>104</v>
      </c>
      <c r="B83" s="18">
        <v>2022</v>
      </c>
      <c r="C83" s="18" t="s">
        <v>114</v>
      </c>
      <c r="D83" s="18" t="s">
        <v>83</v>
      </c>
      <c r="E83" s="18">
        <v>1</v>
      </c>
    </row>
    <row r="84" spans="1:5">
      <c r="A84" s="18" t="s">
        <v>104</v>
      </c>
      <c r="B84" s="18">
        <v>2022</v>
      </c>
      <c r="C84" s="18" t="s">
        <v>116</v>
      </c>
      <c r="D84" s="18" t="s">
        <v>83</v>
      </c>
      <c r="E84" s="18">
        <v>8</v>
      </c>
    </row>
    <row r="85" spans="1:5">
      <c r="A85" s="18" t="s">
        <v>104</v>
      </c>
      <c r="B85" s="18">
        <v>2023</v>
      </c>
      <c r="C85" s="18" t="s">
        <v>115</v>
      </c>
      <c r="D85" s="18" t="s">
        <v>83</v>
      </c>
      <c r="E85" s="18">
        <v>3</v>
      </c>
    </row>
    <row r="86" spans="1:5">
      <c r="A86" s="18" t="s">
        <v>104</v>
      </c>
      <c r="B86" s="18">
        <v>2023</v>
      </c>
      <c r="C86" s="18" t="s">
        <v>116</v>
      </c>
      <c r="D86" s="18" t="s">
        <v>83</v>
      </c>
      <c r="E86" s="18">
        <v>6</v>
      </c>
    </row>
    <row r="87" spans="1:5">
      <c r="A87" s="18" t="s">
        <v>104</v>
      </c>
      <c r="B87" s="18">
        <v>2024</v>
      </c>
      <c r="C87" s="18" t="s">
        <v>116</v>
      </c>
      <c r="D87" s="18" t="s">
        <v>83</v>
      </c>
      <c r="E87" s="18">
        <v>1</v>
      </c>
    </row>
    <row r="88" spans="1:5">
      <c r="A88" s="18" t="s">
        <v>105</v>
      </c>
      <c r="B88" s="18">
        <v>2022</v>
      </c>
      <c r="C88" s="18" t="s">
        <v>114</v>
      </c>
      <c r="D88" s="18" t="s">
        <v>83</v>
      </c>
      <c r="E88" s="18">
        <v>1</v>
      </c>
    </row>
    <row r="89" spans="1:5">
      <c r="A89" s="18" t="s">
        <v>105</v>
      </c>
      <c r="B89" s="18">
        <v>2022</v>
      </c>
      <c r="C89" s="18" t="s">
        <v>116</v>
      </c>
      <c r="D89" s="18" t="s">
        <v>83</v>
      </c>
      <c r="E89" s="18">
        <v>1</v>
      </c>
    </row>
    <row r="90" spans="1:5">
      <c r="A90" s="18" t="s">
        <v>106</v>
      </c>
      <c r="B90" s="18">
        <v>2020</v>
      </c>
      <c r="C90" s="18" t="s">
        <v>113</v>
      </c>
      <c r="D90" s="18" t="s">
        <v>83</v>
      </c>
      <c r="E90" s="18">
        <v>1</v>
      </c>
    </row>
    <row r="91" spans="1:5">
      <c r="A91" s="18" t="s">
        <v>106</v>
      </c>
      <c r="B91" s="18">
        <v>2020</v>
      </c>
      <c r="C91" s="18" t="s">
        <v>116</v>
      </c>
      <c r="D91" s="18" t="s">
        <v>83</v>
      </c>
      <c r="E91" s="18">
        <v>1</v>
      </c>
    </row>
    <row r="92" spans="1:5">
      <c r="A92" s="18" t="s">
        <v>139</v>
      </c>
      <c r="B92" s="18">
        <v>2024</v>
      </c>
      <c r="C92" s="18" t="s">
        <v>116</v>
      </c>
      <c r="D92" s="18" t="s">
        <v>83</v>
      </c>
      <c r="E92" s="18">
        <v>1</v>
      </c>
    </row>
    <row r="93" spans="1:5">
      <c r="A93" s="18" t="s">
        <v>126</v>
      </c>
      <c r="B93" s="18">
        <v>2020</v>
      </c>
      <c r="C93" s="18" t="s">
        <v>116</v>
      </c>
      <c r="D93" s="18" t="s">
        <v>83</v>
      </c>
      <c r="E93" s="18">
        <v>1</v>
      </c>
    </row>
    <row r="94" spans="1:5">
      <c r="A94" s="18" t="s">
        <v>94</v>
      </c>
      <c r="B94" s="18">
        <v>2021</v>
      </c>
      <c r="C94" s="18" t="s">
        <v>116</v>
      </c>
      <c r="D94" s="18" t="s">
        <v>83</v>
      </c>
      <c r="E94" s="18">
        <v>1</v>
      </c>
    </row>
    <row r="95" spans="1:5">
      <c r="A95" s="18" t="s">
        <v>94</v>
      </c>
      <c r="B95" s="18">
        <v>2022</v>
      </c>
      <c r="C95" s="18" t="s">
        <v>115</v>
      </c>
      <c r="D95" s="18" t="s">
        <v>83</v>
      </c>
      <c r="E95" s="18">
        <v>1</v>
      </c>
    </row>
    <row r="96" spans="1:5">
      <c r="A96" s="18" t="s">
        <v>94</v>
      </c>
      <c r="B96" s="18">
        <v>2022</v>
      </c>
      <c r="C96" s="18" t="s">
        <v>116</v>
      </c>
      <c r="D96" s="18" t="s">
        <v>83</v>
      </c>
      <c r="E96" s="18">
        <v>3</v>
      </c>
    </row>
    <row r="97" spans="1:5">
      <c r="A97" s="18" t="s">
        <v>94</v>
      </c>
      <c r="B97" s="18">
        <v>2023</v>
      </c>
      <c r="C97" s="18" t="s">
        <v>115</v>
      </c>
      <c r="D97" s="18" t="s">
        <v>83</v>
      </c>
      <c r="E97" s="18">
        <v>1</v>
      </c>
    </row>
    <row r="98" spans="1:5">
      <c r="A98" s="18" t="s">
        <v>94</v>
      </c>
      <c r="B98" s="18">
        <v>2023</v>
      </c>
      <c r="C98" s="18" t="s">
        <v>116</v>
      </c>
      <c r="D98" s="18" t="s">
        <v>84</v>
      </c>
      <c r="E98" s="18">
        <v>2</v>
      </c>
    </row>
    <row r="99" spans="1:5">
      <c r="A99" s="18" t="s">
        <v>94</v>
      </c>
      <c r="B99" s="18">
        <v>2023</v>
      </c>
      <c r="C99" s="18" t="s">
        <v>116</v>
      </c>
      <c r="D99" s="18" t="s">
        <v>83</v>
      </c>
      <c r="E99" s="18">
        <v>1</v>
      </c>
    </row>
    <row r="100" spans="1:5">
      <c r="A100" s="18" t="s">
        <v>94</v>
      </c>
      <c r="B100" s="18">
        <v>2024</v>
      </c>
      <c r="C100" s="18" t="s">
        <v>116</v>
      </c>
      <c r="D100" s="18" t="s">
        <v>84</v>
      </c>
      <c r="E100" s="18">
        <v>1</v>
      </c>
    </row>
    <row r="101" spans="1:5">
      <c r="A101" s="18" t="s">
        <v>94</v>
      </c>
      <c r="B101" s="18">
        <v>2024</v>
      </c>
      <c r="C101" s="18" t="s">
        <v>116</v>
      </c>
      <c r="D101" s="18" t="s">
        <v>83</v>
      </c>
      <c r="E101" s="18">
        <v>1</v>
      </c>
    </row>
    <row r="102" spans="1:5">
      <c r="A102" s="18" t="s">
        <v>140</v>
      </c>
      <c r="B102" s="18">
        <v>2024</v>
      </c>
      <c r="C102" s="18" t="s">
        <v>116</v>
      </c>
      <c r="D102" s="18" t="s">
        <v>83</v>
      </c>
      <c r="E102" s="18">
        <v>1</v>
      </c>
    </row>
    <row r="103" spans="1:5">
      <c r="A103" s="18" t="s">
        <v>127</v>
      </c>
      <c r="B103" s="18">
        <v>2021</v>
      </c>
      <c r="C103" s="18" t="s">
        <v>116</v>
      </c>
      <c r="D103" s="18" t="s">
        <v>83</v>
      </c>
      <c r="E103" s="18">
        <v>1</v>
      </c>
    </row>
    <row r="104" spans="1:5">
      <c r="A104" s="18" t="s">
        <v>107</v>
      </c>
      <c r="B104" s="18">
        <v>2023</v>
      </c>
      <c r="C104" s="18" t="s">
        <v>116</v>
      </c>
      <c r="D104" s="18" t="s">
        <v>83</v>
      </c>
      <c r="E104" s="18">
        <v>1</v>
      </c>
    </row>
    <row r="105" spans="1:5">
      <c r="A105" s="18" t="s">
        <v>108</v>
      </c>
      <c r="B105" s="18">
        <v>2020</v>
      </c>
      <c r="C105" s="18" t="s">
        <v>116</v>
      </c>
      <c r="D105" s="18" t="s">
        <v>83</v>
      </c>
      <c r="E105" s="18">
        <v>2</v>
      </c>
    </row>
    <row r="106" spans="1:5">
      <c r="A106" s="18" t="s">
        <v>108</v>
      </c>
      <c r="B106" s="18">
        <v>2024</v>
      </c>
      <c r="C106" s="18" t="s">
        <v>115</v>
      </c>
      <c r="D106" s="18" t="s">
        <v>83</v>
      </c>
      <c r="E106" s="18">
        <v>1</v>
      </c>
    </row>
    <row r="107" spans="1:5">
      <c r="A107" s="18" t="s">
        <v>141</v>
      </c>
      <c r="B107" s="18">
        <v>2024</v>
      </c>
      <c r="C107" s="18" t="s">
        <v>116</v>
      </c>
      <c r="D107" s="18" t="s">
        <v>83</v>
      </c>
      <c r="E107" s="18">
        <v>3</v>
      </c>
    </row>
    <row r="108" spans="1:5">
      <c r="A108" s="17" t="s">
        <v>90</v>
      </c>
      <c r="B108" s="17">
        <v>2020</v>
      </c>
      <c r="C108" s="17" t="s">
        <v>116</v>
      </c>
      <c r="D108" s="17" t="s">
        <v>84</v>
      </c>
      <c r="E108" s="17">
        <v>1</v>
      </c>
    </row>
    <row r="110" spans="1:5" ht="15" customHeight="1">
      <c r="A110" s="1" t="s">
        <v>10</v>
      </c>
      <c r="B110" s="1" t="s">
        <v>11</v>
      </c>
    </row>
    <row r="111" spans="1:5" ht="15" customHeight="1">
      <c r="A111" s="1" t="s">
        <v>12</v>
      </c>
      <c r="B111" s="1" t="s">
        <v>128</v>
      </c>
    </row>
    <row r="112" spans="1:5" ht="15" customHeight="1">
      <c r="A112" s="1" t="s">
        <v>14</v>
      </c>
      <c r="B112" s="1" t="s">
        <v>142</v>
      </c>
    </row>
    <row r="113" spans="1:2" ht="15" customHeight="1">
      <c r="A113" s="1" t="s">
        <v>5</v>
      </c>
      <c r="B113" s="1" t="s">
        <v>6</v>
      </c>
    </row>
  </sheetData>
  <autoFilter ref="A1:E114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J13" sqref="J13"/>
    </sheetView>
  </sheetViews>
  <sheetFormatPr baseColWidth="10" defaultRowHeight="15"/>
  <sheetData>
    <row r="1" spans="1:2">
      <c r="A1" t="s">
        <v>19</v>
      </c>
      <c r="B1" s="4" t="s">
        <v>9</v>
      </c>
    </row>
    <row r="2" spans="1:2">
      <c r="A2" s="13" t="s">
        <v>84</v>
      </c>
      <c r="B2">
        <v>824</v>
      </c>
    </row>
    <row r="3" spans="1:2">
      <c r="A3" s="13" t="s">
        <v>83</v>
      </c>
      <c r="B3">
        <v>710</v>
      </c>
    </row>
    <row r="5" spans="1:2">
      <c r="A5" s="1" t="s">
        <v>12</v>
      </c>
      <c r="B5" s="1" t="s">
        <v>129</v>
      </c>
    </row>
    <row r="6" spans="1:2">
      <c r="A6" s="1" t="s">
        <v>14</v>
      </c>
      <c r="B6" s="1" t="s">
        <v>147</v>
      </c>
    </row>
    <row r="7" spans="1:2">
      <c r="A7" s="1" t="s">
        <v>5</v>
      </c>
      <c r="B7" s="1" t="s">
        <v>6</v>
      </c>
    </row>
    <row r="9" spans="1:2">
      <c r="A9" t="s">
        <v>10</v>
      </c>
      <c r="B9" t="s"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selection activeCell="H17" sqref="H17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6" width="12.42578125" customWidth="1"/>
    <col min="7" max="10" width="9.140625" customWidth="1"/>
    <col min="11" max="23" width="10.7109375" customWidth="1"/>
  </cols>
  <sheetData>
    <row r="1" spans="1:13">
      <c r="A1" s="7" t="s">
        <v>3</v>
      </c>
      <c r="B1" s="7" t="s">
        <v>27</v>
      </c>
      <c r="C1" s="14" t="s">
        <v>113</v>
      </c>
      <c r="D1" s="14" t="s">
        <v>114</v>
      </c>
      <c r="E1" s="14" t="s">
        <v>115</v>
      </c>
      <c r="F1" s="14" t="s">
        <v>116</v>
      </c>
      <c r="G1" s="7" t="s">
        <v>4</v>
      </c>
      <c r="M1" s="2"/>
    </row>
    <row r="2" spans="1:13">
      <c r="A2" s="8">
        <v>2020</v>
      </c>
      <c r="B2" s="11" t="s">
        <v>28</v>
      </c>
      <c r="C2">
        <v>1</v>
      </c>
      <c r="F2">
        <v>13</v>
      </c>
      <c r="G2" s="9">
        <f t="shared" ref="G2:G11" si="0">SUM(C2:F2)</f>
        <v>14</v>
      </c>
    </row>
    <row r="3" spans="1:13">
      <c r="A3" s="8">
        <v>2020</v>
      </c>
      <c r="B3" s="11" t="s">
        <v>29</v>
      </c>
      <c r="D3">
        <v>2</v>
      </c>
      <c r="E3">
        <v>1</v>
      </c>
      <c r="F3">
        <v>1</v>
      </c>
      <c r="G3" s="9">
        <f t="shared" si="0"/>
        <v>4</v>
      </c>
    </row>
    <row r="4" spans="1:13">
      <c r="A4" s="8">
        <v>2021</v>
      </c>
      <c r="B4" s="11" t="s">
        <v>28</v>
      </c>
      <c r="D4">
        <v>1</v>
      </c>
      <c r="F4">
        <v>2</v>
      </c>
      <c r="G4" s="9">
        <f t="shared" si="0"/>
        <v>3</v>
      </c>
    </row>
    <row r="5" spans="1:13">
      <c r="A5" s="8">
        <v>2021</v>
      </c>
      <c r="B5" s="11" t="s">
        <v>29</v>
      </c>
      <c r="E5">
        <v>1</v>
      </c>
      <c r="F5">
        <v>8</v>
      </c>
      <c r="G5" s="9">
        <f t="shared" si="0"/>
        <v>9</v>
      </c>
    </row>
    <row r="6" spans="1:13">
      <c r="A6" s="8">
        <v>2022</v>
      </c>
      <c r="B6" s="11" t="s">
        <v>28</v>
      </c>
      <c r="D6">
        <v>1</v>
      </c>
      <c r="E6">
        <v>1</v>
      </c>
      <c r="F6">
        <v>5</v>
      </c>
      <c r="G6" s="9">
        <f t="shared" si="0"/>
        <v>7</v>
      </c>
    </row>
    <row r="7" spans="1:13">
      <c r="A7" s="8">
        <v>2022</v>
      </c>
      <c r="B7" s="11" t="s">
        <v>29</v>
      </c>
      <c r="D7">
        <v>2</v>
      </c>
      <c r="E7">
        <v>1</v>
      </c>
      <c r="F7">
        <v>20</v>
      </c>
      <c r="G7" s="9">
        <f t="shared" si="0"/>
        <v>23</v>
      </c>
    </row>
    <row r="8" spans="1:13">
      <c r="A8" s="8">
        <v>2023</v>
      </c>
      <c r="B8" s="11" t="s">
        <v>28</v>
      </c>
      <c r="C8">
        <v>1</v>
      </c>
      <c r="D8">
        <v>3</v>
      </c>
      <c r="E8">
        <v>6</v>
      </c>
      <c r="F8">
        <v>15</v>
      </c>
      <c r="G8" s="9">
        <f t="shared" si="0"/>
        <v>25</v>
      </c>
    </row>
    <row r="9" spans="1:13">
      <c r="A9" s="8">
        <v>2023</v>
      </c>
      <c r="B9" s="11" t="s">
        <v>29</v>
      </c>
      <c r="D9">
        <v>3</v>
      </c>
      <c r="E9">
        <v>5</v>
      </c>
      <c r="F9">
        <v>22</v>
      </c>
      <c r="G9" s="9">
        <f t="shared" si="0"/>
        <v>30</v>
      </c>
    </row>
    <row r="10" spans="1:13">
      <c r="A10" s="8">
        <v>2024</v>
      </c>
      <c r="B10" s="11" t="s">
        <v>28</v>
      </c>
      <c r="C10">
        <v>2</v>
      </c>
      <c r="D10">
        <f>2+5+15+13+3</f>
        <v>38</v>
      </c>
      <c r="E10">
        <v>4</v>
      </c>
      <c r="F10">
        <f>4+2+5+79+221+292</f>
        <v>603</v>
      </c>
      <c r="G10" s="9">
        <f t="shared" si="0"/>
        <v>647</v>
      </c>
    </row>
    <row r="11" spans="1:13">
      <c r="A11" s="8">
        <v>2024</v>
      </c>
      <c r="B11" s="11" t="s">
        <v>29</v>
      </c>
      <c r="C11">
        <v>1</v>
      </c>
      <c r="D11">
        <f>3+3+1+1</f>
        <v>8</v>
      </c>
      <c r="E11">
        <v>2</v>
      </c>
      <c r="F11">
        <v>761</v>
      </c>
      <c r="G11" s="9">
        <f t="shared" si="0"/>
        <v>772</v>
      </c>
    </row>
    <row r="12" spans="1:13">
      <c r="A12" s="10" t="s">
        <v>20</v>
      </c>
      <c r="B12" s="10"/>
      <c r="C12" s="9">
        <f>SUM(C2:C11)</f>
        <v>5</v>
      </c>
      <c r="D12" s="9">
        <f t="shared" ref="D12:G12" si="1">SUM(D2:D11)</f>
        <v>58</v>
      </c>
      <c r="E12" s="9">
        <f t="shared" si="1"/>
        <v>21</v>
      </c>
      <c r="F12" s="9">
        <f t="shared" si="1"/>
        <v>1450</v>
      </c>
      <c r="G12" s="9">
        <f t="shared" si="1"/>
        <v>1534</v>
      </c>
    </row>
    <row r="14" spans="1:13">
      <c r="A14" s="1" t="s">
        <v>0</v>
      </c>
      <c r="C14" s="1" t="s">
        <v>148</v>
      </c>
      <c r="D14" s="1"/>
      <c r="E14" s="1"/>
      <c r="F14" s="1"/>
    </row>
    <row r="15" spans="1:13">
      <c r="A15" s="5" t="s">
        <v>14</v>
      </c>
      <c r="C15" s="1" t="s">
        <v>149</v>
      </c>
      <c r="D15" s="1"/>
      <c r="E15" s="5"/>
      <c r="F15" s="5"/>
    </row>
    <row r="16" spans="1:13">
      <c r="A16" s="1" t="s">
        <v>5</v>
      </c>
      <c r="C16" s="1" t="s">
        <v>117</v>
      </c>
      <c r="D16" s="1"/>
      <c r="E16" s="1"/>
      <c r="F16" s="1"/>
    </row>
    <row r="17" spans="1:6">
      <c r="A17" s="1" t="s">
        <v>7</v>
      </c>
      <c r="C17" s="1" t="s">
        <v>23</v>
      </c>
      <c r="D17" s="1"/>
      <c r="E17" s="1"/>
      <c r="F17" s="1"/>
    </row>
    <row r="18" spans="1:6" ht="15" customHeight="1">
      <c r="A18" s="1"/>
      <c r="C18" s="1"/>
      <c r="D18" s="1"/>
      <c r="E18" s="1"/>
      <c r="F18" s="1"/>
    </row>
    <row r="19" spans="1:6" ht="15" customHeight="1">
      <c r="A19" s="1" t="s">
        <v>10</v>
      </c>
      <c r="C19" s="1" t="s">
        <v>16</v>
      </c>
      <c r="D19" s="1"/>
      <c r="E19" s="1"/>
      <c r="F19" s="1"/>
    </row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H9"/>
  <sheetViews>
    <sheetView zoomScale="80" zoomScaleNormal="80" workbookViewId="0">
      <selection activeCell="A2" sqref="A2"/>
    </sheetView>
  </sheetViews>
  <sheetFormatPr baseColWidth="10" defaultRowHeight="15"/>
  <sheetData>
    <row r="1" spans="1:60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  <c r="AH1" s="6" t="s">
        <v>63</v>
      </c>
      <c r="AI1" s="6" t="s">
        <v>64</v>
      </c>
      <c r="AJ1" s="6" t="s">
        <v>65</v>
      </c>
      <c r="AK1" s="6" t="s">
        <v>66</v>
      </c>
      <c r="AL1" s="6" t="s">
        <v>67</v>
      </c>
      <c r="AM1" s="6" t="s">
        <v>68</v>
      </c>
      <c r="AN1" s="6" t="s">
        <v>69</v>
      </c>
      <c r="AO1" s="6" t="s">
        <v>70</v>
      </c>
      <c r="AP1" s="6" t="s">
        <v>71</v>
      </c>
      <c r="AQ1" s="6" t="s">
        <v>72</v>
      </c>
      <c r="AR1" s="6" t="s">
        <v>73</v>
      </c>
      <c r="AS1" s="6" t="s">
        <v>74</v>
      </c>
      <c r="AT1" s="6" t="s">
        <v>75</v>
      </c>
      <c r="AU1" s="6" t="s">
        <v>76</v>
      </c>
      <c r="AV1" s="6" t="s">
        <v>77</v>
      </c>
      <c r="AW1" s="6" t="s">
        <v>150</v>
      </c>
      <c r="AX1" s="6" t="s">
        <v>151</v>
      </c>
      <c r="AY1" s="6" t="s">
        <v>152</v>
      </c>
      <c r="AZ1" s="6" t="s">
        <v>153</v>
      </c>
      <c r="BA1" s="6" t="s">
        <v>154</v>
      </c>
      <c r="BB1" s="6" t="s">
        <v>155</v>
      </c>
      <c r="BC1" s="6" t="s">
        <v>156</v>
      </c>
      <c r="BD1" s="6" t="s">
        <v>157</v>
      </c>
      <c r="BE1" s="6" t="s">
        <v>158</v>
      </c>
      <c r="BF1" s="6" t="s">
        <v>159</v>
      </c>
      <c r="BG1" s="6" t="s">
        <v>160</v>
      </c>
      <c r="BH1" s="6" t="s">
        <v>161</v>
      </c>
    </row>
    <row r="2" spans="1:60">
      <c r="A2" s="12">
        <v>2</v>
      </c>
      <c r="B2" s="12">
        <v>3</v>
      </c>
      <c r="C2" s="12">
        <v>5</v>
      </c>
      <c r="D2" s="12">
        <v>1</v>
      </c>
      <c r="E2" s="12">
        <v>3</v>
      </c>
      <c r="F2" s="12">
        <v>1</v>
      </c>
      <c r="G2" s="12">
        <v>0</v>
      </c>
      <c r="H2" s="12">
        <v>2</v>
      </c>
      <c r="I2" s="12">
        <v>0</v>
      </c>
      <c r="J2" s="12">
        <v>0</v>
      </c>
      <c r="K2" s="12">
        <v>0</v>
      </c>
      <c r="L2" s="12">
        <v>2</v>
      </c>
      <c r="M2" s="12">
        <v>3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2</v>
      </c>
      <c r="V2" s="12">
        <v>2</v>
      </c>
      <c r="W2" s="12">
        <v>4</v>
      </c>
      <c r="X2" s="12">
        <v>1</v>
      </c>
      <c r="Y2" s="12">
        <v>2</v>
      </c>
      <c r="Z2" s="12">
        <v>0</v>
      </c>
      <c r="AA2" s="12">
        <v>3</v>
      </c>
      <c r="AB2" s="12">
        <v>0</v>
      </c>
      <c r="AC2" s="12">
        <v>2</v>
      </c>
      <c r="AD2" s="12">
        <v>0</v>
      </c>
      <c r="AE2" s="12">
        <v>1</v>
      </c>
      <c r="AF2" s="12">
        <v>1</v>
      </c>
      <c r="AG2" s="12">
        <v>0</v>
      </c>
      <c r="AH2" s="12">
        <v>4</v>
      </c>
      <c r="AI2" s="12">
        <v>4</v>
      </c>
      <c r="AJ2" s="12">
        <v>13</v>
      </c>
      <c r="AK2" s="12">
        <v>5</v>
      </c>
      <c r="AL2" s="12">
        <v>2</v>
      </c>
      <c r="AM2" s="12">
        <v>8</v>
      </c>
      <c r="AN2" s="12">
        <v>4</v>
      </c>
      <c r="AO2" s="12">
        <v>5</v>
      </c>
      <c r="AP2" s="12">
        <v>1</v>
      </c>
      <c r="AQ2" s="12">
        <v>8</v>
      </c>
      <c r="AR2" s="12">
        <v>5</v>
      </c>
      <c r="AS2" s="12">
        <v>3</v>
      </c>
      <c r="AT2" s="12">
        <v>3</v>
      </c>
      <c r="AU2" s="12">
        <v>5</v>
      </c>
      <c r="AV2" s="12">
        <v>6</v>
      </c>
      <c r="AW2" s="19">
        <v>8</v>
      </c>
      <c r="AX2" s="19">
        <v>3</v>
      </c>
      <c r="AY2" s="19">
        <v>10</v>
      </c>
      <c r="AZ2" s="19">
        <v>95</v>
      </c>
      <c r="BA2" s="19">
        <v>235</v>
      </c>
      <c r="BB2" s="19">
        <v>296</v>
      </c>
      <c r="BC2" s="19">
        <v>204</v>
      </c>
      <c r="BD2" s="19">
        <v>134</v>
      </c>
      <c r="BE2" s="19">
        <v>87</v>
      </c>
      <c r="BF2" s="19">
        <v>103</v>
      </c>
      <c r="BG2" s="19">
        <v>130</v>
      </c>
      <c r="BH2" s="19">
        <v>113</v>
      </c>
    </row>
    <row r="4" spans="1:60">
      <c r="A4" s="1" t="s">
        <v>12</v>
      </c>
      <c r="B4" s="1" t="s">
        <v>130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0">
      <c r="A5" s="1" t="s">
        <v>14</v>
      </c>
      <c r="B5" s="1" t="s">
        <v>131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0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0">
      <c r="A7" s="1" t="s">
        <v>7</v>
      </c>
      <c r="B7" s="1" t="s">
        <v>21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0">
      <c r="A9" t="s">
        <v>10</v>
      </c>
      <c r="B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A4AC-A392-4788-A422-5148002B1093}">
  <dimension ref="A1:J1003"/>
  <sheetViews>
    <sheetView workbookViewId="0">
      <selection activeCell="H2" sqref="H2:H11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7" width="9.140625" customWidth="1"/>
    <col min="8" max="20" width="10.7109375" customWidth="1"/>
  </cols>
  <sheetData>
    <row r="1" spans="1:10">
      <c r="A1" s="7" t="s">
        <v>3</v>
      </c>
      <c r="B1" s="7" t="s">
        <v>27</v>
      </c>
      <c r="C1" s="14" t="s">
        <v>109</v>
      </c>
      <c r="D1" s="14" t="s">
        <v>132</v>
      </c>
      <c r="E1" s="14" t="s">
        <v>110</v>
      </c>
      <c r="F1" s="14" t="s">
        <v>133</v>
      </c>
      <c r="G1" s="7" t="s">
        <v>4</v>
      </c>
      <c r="J1" s="2"/>
    </row>
    <row r="2" spans="1:10">
      <c r="A2" s="8">
        <v>2020</v>
      </c>
      <c r="B2" s="11" t="s">
        <v>28</v>
      </c>
      <c r="E2">
        <v>15</v>
      </c>
      <c r="G2" s="9">
        <f>SUM(C2:F2)</f>
        <v>15</v>
      </c>
    </row>
    <row r="3" spans="1:10">
      <c r="A3" s="8">
        <v>2020</v>
      </c>
      <c r="B3" s="11" t="s">
        <v>29</v>
      </c>
      <c r="E3">
        <v>4</v>
      </c>
      <c r="G3" s="9">
        <f t="shared" ref="G3:G12" si="0">SUM(C3:F3)</f>
        <v>4</v>
      </c>
    </row>
    <row r="4" spans="1:10">
      <c r="A4" s="8">
        <v>2021</v>
      </c>
      <c r="B4" s="11" t="s">
        <v>28</v>
      </c>
      <c r="E4">
        <v>1</v>
      </c>
      <c r="G4" s="9">
        <f t="shared" si="0"/>
        <v>1</v>
      </c>
    </row>
    <row r="5" spans="1:10">
      <c r="A5" s="8">
        <v>2021</v>
      </c>
      <c r="B5" s="11" t="s">
        <v>29</v>
      </c>
      <c r="E5">
        <v>9</v>
      </c>
      <c r="G5" s="9">
        <f t="shared" si="0"/>
        <v>9</v>
      </c>
    </row>
    <row r="6" spans="1:10">
      <c r="A6" s="8">
        <v>2022</v>
      </c>
      <c r="B6" s="11" t="s">
        <v>28</v>
      </c>
      <c r="E6">
        <v>9</v>
      </c>
      <c r="G6" s="9">
        <f t="shared" si="0"/>
        <v>9</v>
      </c>
    </row>
    <row r="7" spans="1:10">
      <c r="A7" s="8">
        <v>2022</v>
      </c>
      <c r="B7" s="11" t="s">
        <v>29</v>
      </c>
      <c r="C7">
        <v>1</v>
      </c>
      <c r="E7">
        <v>22</v>
      </c>
      <c r="G7" s="9">
        <f t="shared" si="0"/>
        <v>23</v>
      </c>
    </row>
    <row r="8" spans="1:10">
      <c r="A8" s="8">
        <v>2023</v>
      </c>
      <c r="B8" s="11" t="s">
        <v>28</v>
      </c>
      <c r="C8">
        <v>1</v>
      </c>
      <c r="E8">
        <v>23</v>
      </c>
      <c r="F8">
        <v>1</v>
      </c>
      <c r="G8" s="9">
        <f t="shared" si="0"/>
        <v>25</v>
      </c>
    </row>
    <row r="9" spans="1:10">
      <c r="A9" s="8">
        <v>2023</v>
      </c>
      <c r="B9" s="11" t="s">
        <v>29</v>
      </c>
      <c r="C9">
        <v>4</v>
      </c>
      <c r="D9">
        <v>2</v>
      </c>
      <c r="E9">
        <v>24</v>
      </c>
      <c r="G9" s="9">
        <f t="shared" si="0"/>
        <v>30</v>
      </c>
    </row>
    <row r="10" spans="1:10">
      <c r="A10" s="8">
        <v>2024</v>
      </c>
      <c r="B10" s="11" t="s">
        <v>28</v>
      </c>
      <c r="C10">
        <v>594</v>
      </c>
      <c r="D10">
        <v>1</v>
      </c>
      <c r="E10">
        <v>52</v>
      </c>
      <c r="G10" s="9">
        <f t="shared" si="0"/>
        <v>647</v>
      </c>
    </row>
    <row r="11" spans="1:10">
      <c r="A11" s="8">
        <v>2024</v>
      </c>
      <c r="B11" s="11" t="s">
        <v>29</v>
      </c>
      <c r="C11">
        <v>704</v>
      </c>
      <c r="E11">
        <v>67</v>
      </c>
      <c r="G11" s="9">
        <f t="shared" si="0"/>
        <v>771</v>
      </c>
    </row>
    <row r="12" spans="1:10">
      <c r="A12" s="10" t="s">
        <v>20</v>
      </c>
      <c r="B12" s="10"/>
      <c r="C12" s="9">
        <f>SUM(C2:C11)</f>
        <v>1304</v>
      </c>
      <c r="D12" s="9">
        <f>SUM(D2:D11)</f>
        <v>3</v>
      </c>
      <c r="E12" s="9">
        <f>SUM(E2:E11)</f>
        <v>226</v>
      </c>
      <c r="F12" s="9">
        <f>SUM(F2:F11)</f>
        <v>1</v>
      </c>
      <c r="G12" s="9">
        <f>SUM(G2:G11)</f>
        <v>1534</v>
      </c>
    </row>
    <row r="14" spans="1:10">
      <c r="A14" s="1" t="s">
        <v>0</v>
      </c>
      <c r="B14" s="1" t="s">
        <v>134</v>
      </c>
      <c r="C14" s="1"/>
      <c r="D14" s="1"/>
    </row>
    <row r="15" spans="1:10">
      <c r="A15" s="5" t="s">
        <v>14</v>
      </c>
      <c r="B15" s="1" t="s">
        <v>162</v>
      </c>
      <c r="C15" s="5"/>
      <c r="D15" s="5"/>
    </row>
    <row r="16" spans="1:10">
      <c r="A16" s="1" t="s">
        <v>5</v>
      </c>
      <c r="B16" s="1" t="s">
        <v>111</v>
      </c>
      <c r="C16" s="1"/>
      <c r="D16" s="1"/>
    </row>
    <row r="17" spans="1:4">
      <c r="A17" s="1" t="s">
        <v>7</v>
      </c>
      <c r="B17" s="1" t="s">
        <v>23</v>
      </c>
      <c r="C17" s="1"/>
      <c r="D17" s="1"/>
    </row>
    <row r="18" spans="1:4" ht="15" customHeight="1">
      <c r="A18" s="1"/>
      <c r="B18" s="1"/>
      <c r="C18" s="1"/>
      <c r="D18" s="1"/>
    </row>
    <row r="19" spans="1:4" ht="15" customHeight="1">
      <c r="A19" s="1" t="s">
        <v>10</v>
      </c>
      <c r="B19" s="1" t="s">
        <v>16</v>
      </c>
      <c r="C19" s="1"/>
      <c r="D19" s="1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data0</vt:lpstr>
      <vt:lpstr>data1</vt:lpstr>
      <vt:lpstr>data2</vt:lpstr>
      <vt:lpstr>data3</vt:lpstr>
      <vt:lpstr>data4</vt:lpstr>
      <vt:lpstr>data5</vt:lpstr>
      <vt:lpstr>data6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2025-10-16T21:46:10Z</dcterms:modified>
</cp:coreProperties>
</file>